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PartName="/xl/worksheets/sheet_diag.xml" ContentType="application/vnd.openxmlformats-officedocument.spreadsheetml.worksheet+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年間予算表（施策別）" sheetId="1" r:id="rId5"/>
    <sheet state="visible" name="診断結果" sheetId="2" r:id="rId6"/>
  </sheets>
  <definedNames/>
  <calcPr fullCalcOnLoad="1"/>
</workbook>
</file>

<file path=xl/sharedStrings.xml><?xml version="1.0" encoding="utf-8"?>
<sst xmlns="http://schemas.openxmlformats.org/spreadsheetml/2006/main" count="204" uniqueCount="65">
  <si>
    <t>年間予算表</t>
  </si>
  <si>
    <t>水色＝入力　灰色＝自動計算　単位：万円</t>
  </si>
  <si>
    <t>【1】年間予算計画を立てる</t>
  </si>
  <si>
    <t>1. 前提の入力</t>
  </si>
  <si>
    <t>期首</t>
  </si>
  <si>
    <t>マーケ経由の売上目標</t>
  </si>
  <si>
    <t>平均受注単価</t>
  </si>
  <si>
    <t>粗利率</t>
  </si>
  <si>
    <t>回収期間</t>
  </si>
  <si>
    <t>リードタイム</t>
  </si>
  <si>
    <t>1社あたりの月の粗利</t>
  </si>
  <si>
    <t>CACの上限</t>
  </si>
  <si>
    <t>許容CPL</t>
  </si>
  <si>
    <t>共通費</t>
  </si>
  <si>
    <t>2. チャネル別の計画（年間）の入力</t>
  </si>
  <si>
    <t>チャネル</t>
  </si>
  <si>
    <t>リード数</t>
  </si>
  <si>
    <t>有効リード率</t>
  </si>
  <si>
    <t>有効リード数</t>
  </si>
  <si>
    <t>商談化率</t>
  </si>
  <si>
    <t>商談数</t>
  </si>
  <si>
    <t>受注率</t>
  </si>
  <si>
    <t>受注数</t>
  </si>
  <si>
    <t>受注金額</t>
  </si>
  <si>
    <t>外部費用</t>
  </si>
  <si>
    <t>人件費</t>
  </si>
  <si>
    <t>CPL</t>
  </si>
  <si>
    <t>CAC</t>
  </si>
  <si>
    <t>CPL判定</t>
  </si>
  <si>
    <t>展示会</t>
  </si>
  <si>
    <t>セミナー</t>
  </si>
  <si>
    <t>Web広告</t>
  </si>
  <si>
    <t>自社サイト</t>
  </si>
  <si>
    <t>SNS</t>
  </si>
  <si>
    <t>メール</t>
  </si>
  <si>
    <t>合計</t>
  </si>
  <si>
    <t>判定＝CPLが許容CPL以下なら「上限内」、超えたら「上限超え」。CPL・CAC・回収期間は外部費用＋人件費で計算する</t>
  </si>
  <si>
    <t>3. 計画の妥当性の確認：目標</t>
  </si>
  <si>
    <t>4. 計画の妥当性の確認：コスト</t>
  </si>
  <si>
    <t>コスト合計</t>
  </si>
  <si>
    <t>ROI（1年）</t>
  </si>
  <si>
    <t>必要な数（逆算）</t>
  </si>
  <si>
    <t>計画の数</t>
  </si>
  <si>
    <t>判定</t>
  </si>
  <si>
    <t>-</t>
  </si>
  <si>
    <t>【2】月別予算計画を立てる</t>
  </si>
  <si>
    <t>1.年間計画（月別）の合計</t>
  </si>
  <si>
    <t>※2.チャネル別の計画（月別）の入力の合計が表示されます。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</si>
  <si>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</si>
  <si>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</si>
  <si>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</si>
  <si>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</si>
  <si>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</si>
  <si>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</si>
  <si>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</si>
  <si>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</si>
  <si>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</si>
  <si>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1月</t>
  </si>
  <si>
    <t>2月</t>
  </si>
  <si>
    <t>3月</t>
  </si>
  <si>
    <t>年間</t>
  </si>
  <si>
    <t>計画との差</t>
  </si>
  <si>
    <t>受注数の見込み</t>
  </si>
  <si>
    <t>受注数の見込み＝リードを獲得した月からリードタイムの月数あとに計上する。期首からリードタイム分の月は、前期の同じ月のリードを今期と同じとみなして見込む。期末のリードタイム分の受注は翌期に入る</t>
  </si>
  <si>
    <t>2.チャネル別の計画（月別）の入力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</si>
</sst>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yyyy/m/d"/>
    <numFmt numFmtId="165" formatCode="0.0"/>
    <numFmt numFmtId="166" formatCode="#,##0.0"/>
    <numFmt numFmtId="200" formatCode="#,##0.0"/>
  </numFmts>
  <fonts count="18">
    <font>
      <sz val="10.0"/>
      <color rgb="FF000000"/>
      <name val="Arial"/>
      <scheme val="minor"/>
    </font>
    <font>
      <b/>
      <sz val="18.0"/>
      <color theme="1"/>
      <name val="Arial"/>
      <scheme val="minor"/>
    </font>
    <font>
      <color rgb="FF585858"/>
      <name val="Arial"/>
      <scheme val="minor"/>
    </font>
    <font>
      <b/>
      <sz val="14.0"/>
      <color theme="1"/>
      <name val="Arial"/>
      <scheme val="minor"/>
    </font>
    <font>
      <b/>
      <color theme="1"/>
      <name val="Arial"/>
      <scheme val="minor"/>
    </font>
    <font>
      <b/>
      <color rgb="FFFFFFFF"/>
      <name val="Arial"/>
      <scheme val="minor"/>
    </font>
    <font>
      <color theme="1"/>
      <name val="Arial"/>
      <scheme val="minor"/>
    </font>
    <font>
      <sz val="8.0"/>
      <color rgb="FF585858"/>
      <name val="Arial"/>
      <scheme val="minor"/>
    </font>
    <font>
      <sz val="8.0"/>
      <color theme="1"/>
      <name val="Arial"/>
      <scheme val="minor"/>
    </font>
    <font/>
    <font>
      <b/>
      <sz val="14"/>
      <color rgb="FF0B0B12"/>
      <name val="Arial"/>
    </font>
    <font>
      <b/>
      <sz val="11"/>
      <color rgb="FF0B0B12"/>
      <name val="Arial"/>
    </font>
    <font>
      <sz val="10"/>
      <color rgb="FF0B0B12"/>
      <name val="Arial"/>
    </font>
    <font>
      <b/>
      <sz val="10"/>
      <color rgb="FFFFFFFF"/>
      <name val="Arial"/>
    </font>
    <font>
      <b/>
      <sz val="10"/>
      <color rgb="FFC81E1E"/>
      <name val="Arial"/>
    </font>
    <font>
      <b/>
      <sz val="10"/>
      <color rgb="FFC2560C"/>
      <name val="Arial"/>
    </font>
    <font>
      <sz val="9"/>
      <color rgb="FF74757C"/>
      <name val="Arial"/>
    </font>
    <font>
      <b/>
      <sz val="10"/>
      <color rgb="FF0B0B12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EEEEEE"/>
        <bgColor rgb="FFEEEEEE"/>
      </patternFill>
    </fill>
    <fill>
      <patternFill patternType="solid">
        <fgColor rgb="FFEFEFEF"/>
        <bgColor rgb="FFEFEFEF"/>
      </patternFill>
    </fill>
    <fill>
      <patternFill patternType="solid">
        <fgColor rgb="FFDDEBF7"/>
        <bgColor rgb="FFDDEBF7"/>
      </patternFill>
    </fill>
    <fill>
      <patternFill patternType="solid">
        <fgColor rgb="FFEEEEEE"/>
        <bgColor rgb="FFEEEEEE"/>
      </patternFill>
    </fill>
    <fill>
      <patternFill patternType="solid">
        <fgColor rgb="FFFBE3E3"/>
        <bgColor rgb="FFFBE3E3"/>
      </patternFill>
    </fill>
    <fill>
      <patternFill patternType="solid">
        <fgColor rgb="FFFDECD9"/>
        <bgColor rgb="FFFDECD9"/>
      </patternFill>
    </fill>
  </fills>
  <borders count="14">
    <border/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999999"/>
      </left>
      <right style="thin">
        <color rgb="FF999999"/>
      </right>
      <top style="thin">
        <color rgb="FF999999"/>
      </top>
    </border>
    <border>
      <left style="thin">
        <color rgb="FF999999"/>
      </left>
      <top style="thin">
        <color rgb="FF999999"/>
      </top>
      <bottom style="thin">
        <color rgb="FF999999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999999"/>
      </left>
      <top style="thin">
        <color rgb="FF999999"/>
      </top>
    </border>
    <border>
      <right style="thin">
        <color rgb="FF999999"/>
      </right>
      <top style="thin">
        <color rgb="FF999999"/>
      </top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CCCCCC"/>
      </left>
      <right style="thin">
        <color rgb="FFCCCCCC"/>
      </right>
      <top style="thin">
        <color rgb="FFCCCCCC"/>
      </top>
    </border>
    <border>
      <left style="thin">
        <color rgb="FFCCCCCC"/>
      </left>
      <right style="thin">
        <color rgb="FFCCCCCC"/>
      </right>
    </border>
    <border>
      <left style="thin">
        <color rgb="FFDEDEE2"/>
      </left>
      <right style="thin">
        <color rgb="FFDEDEE2"/>
      </right>
      <top style="thin">
        <color rgb="FFDEDEE2"/>
      </top>
      <bottom style="thin">
        <color rgb="FFDEDEE2"/>
      </bottom>
      <diagonal/>
    </border>
    <border>
      <left/>
      <right/>
      <top/>
      <bottom style="medium">
        <color rgb="FF0B0B12"/>
      </bottom>
      <diagonal/>
    </border>
  </borders>
  <cellStyleXfs count="1">
    <xf borderId="0" fillId="0" fontId="0" numFmtId="0" applyAlignment="1" applyFont="1"/>
  </cellStyleXfs>
  <cellXfs count="9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1" fillId="2" fontId="5" numFmtId="0" xfId="0" applyAlignment="1" applyBorder="1" applyFill="1" applyFont="1">
      <alignment horizontal="center" readingOrder="0" shrinkToFit="0" wrapText="1"/>
    </xf>
    <xf borderId="1" fillId="2" fontId="5" numFmtId="0" xfId="0" applyAlignment="1" applyBorder="1" applyFill="1" applyFont="1">
      <alignment horizontal="center" readingOrder="0"/>
    </xf>
    <xf borderId="1" fillId="3" fontId="6" numFmtId="164" xfId="0" applyAlignment="1" applyBorder="1" applyFill="1" applyFont="1" applyNumberFormat="1">
      <alignment horizontal="center" readingOrder="0"/>
    </xf>
    <xf borderId="1" fillId="3" fontId="6" numFmtId="3" xfId="0" applyAlignment="1" applyBorder="1" applyFill="1" applyFont="1" applyNumberFormat="1">
      <alignment readingOrder="0"/>
    </xf>
    <xf borderId="1" fillId="3" fontId="6" numFmtId="9" xfId="0" applyAlignment="1" applyBorder="1" applyFill="1" applyFont="1" applyNumberFormat="1">
      <alignment readingOrder="0"/>
    </xf>
    <xf borderId="1" fillId="3" fontId="6" numFmtId="165" xfId="0" applyAlignment="1" applyBorder="1" applyFill="1" applyFont="1" applyNumberFormat="1">
      <alignment readingOrder="0"/>
    </xf>
    <xf borderId="1" fillId="3" fontId="6" numFmtId="1" xfId="0" applyAlignment="1" applyBorder="1" applyFill="1" applyFont="1" applyNumberFormat="1">
      <alignment readingOrder="0"/>
    </xf>
    <xf borderId="1" fillId="0" fontId="6" numFmtId="166" xfId="0" applyBorder="1" applyFont="1" applyNumberFormat="1"/>
    <xf borderId="0" fillId="0" fontId="6" numFmtId="0" xfId="0" applyAlignment="1" applyFont="1">
      <alignment readingOrder="0"/>
    </xf>
    <xf borderId="1" fillId="0" fontId="6" numFmtId="0" xfId="0" applyAlignment="1" applyBorder="1" applyFont="1">
      <alignment readingOrder="0"/>
    </xf>
    <xf borderId="1" fillId="4" fontId="6" numFmtId="9" xfId="0" applyAlignment="1" applyBorder="1" applyFill="1" applyFont="1" applyNumberFormat="1">
      <alignment readingOrder="0"/>
    </xf>
    <xf borderId="1" fillId="0" fontId="6" numFmtId="3" xfId="0" applyBorder="1" applyFont="1" applyNumberFormat="1"/>
    <xf borderId="1" fillId="0" fontId="6" numFmtId="165" xfId="0" applyBorder="1" applyFont="1" applyNumberFormat="1"/>
    <xf borderId="1" fillId="0" fontId="6" numFmtId="0" xfId="0" applyAlignment="1" applyBorder="1" applyFont="1">
      <alignment horizontal="center"/>
    </xf>
    <xf borderId="1" fillId="0" fontId="4" numFmtId="0" xfId="0" applyAlignment="1" applyBorder="1" applyFont="1">
      <alignment readingOrder="0"/>
    </xf>
    <xf borderId="1" fillId="0" fontId="4" numFmtId="3" xfId="0" applyBorder="1" applyFont="1" applyNumberFormat="1"/>
    <xf borderId="1" fillId="0" fontId="4" numFmtId="9" xfId="0" applyBorder="1" applyFont="1" applyNumberFormat="1"/>
    <xf borderId="1" fillId="0" fontId="4" numFmtId="166" xfId="0" applyBorder="1" applyFont="1" applyNumberFormat="1"/>
    <xf borderId="1" fillId="0" fontId="4" numFmtId="165" xfId="0" applyBorder="1" applyFont="1" applyNumberFormat="1"/>
    <xf borderId="1" fillId="0" fontId="4" numFmtId="0" xfId="0" applyAlignment="1" applyBorder="1" applyFont="1">
      <alignment horizontal="center"/>
    </xf>
    <xf borderId="0" fillId="0" fontId="7" numFmtId="0" xfId="0" applyAlignment="1" applyFont="1">
      <alignment readingOrder="0"/>
    </xf>
    <xf borderId="1" fillId="2" fontId="5" numFmtId="0" xfId="0" applyAlignment="1" applyBorder="1" applyFill="1" applyFont="1">
      <alignment horizontal="center"/>
    </xf>
    <xf borderId="1" fillId="0" fontId="6" numFmtId="9" xfId="0" applyBorder="1" applyFont="1" applyNumberFormat="1"/>
    <xf borderId="2" fillId="0" fontId="6" numFmtId="9" xfId="0" applyBorder="1" applyFont="1" applyNumberFormat="1"/>
    <xf borderId="2" fillId="0" fontId="6" numFmtId="3" xfId="0" applyBorder="1" applyFont="1" applyNumberFormat="1"/>
    <xf borderId="3" fillId="0" fontId="6" numFmtId="0" xfId="0" applyAlignment="1" applyBorder="1" applyFont="1">
      <alignment horizontal="center"/>
    </xf>
    <xf borderId="4" fillId="0" fontId="6" numFmtId="0" xfId="0" applyAlignment="1" applyBorder="1" applyFont="1">
      <alignment horizontal="right" readingOrder="0"/>
    </xf>
    <xf borderId="4" fillId="0" fontId="6" numFmtId="0" xfId="0" applyAlignment="1" applyBorder="1" applyFont="1">
      <alignment horizontal="center"/>
    </xf>
    <xf borderId="0" fillId="0" fontId="8" numFmtId="0" xfId="0" applyAlignment="1" applyFont="1">
      <alignment readingOrder="0"/>
    </xf>
    <xf borderId="5" fillId="2" fontId="5" numFmtId="0" xfId="0" applyAlignment="1" applyBorder="1" applyFill="1" applyFont="1">
      <alignment horizontal="center" readingOrder="0"/>
    </xf>
    <xf borderId="6" fillId="0" fontId="9" numFmtId="0" xfId="0" applyBorder="1" applyFont="1"/>
    <xf quotePrefix="1" borderId="1" fillId="2" fontId="5" numFmtId="0" xfId="0" applyAlignment="1" applyBorder="1" applyFill="1" applyFont="1">
      <alignment horizontal="center" readingOrder="0"/>
    </xf>
    <xf borderId="7" fillId="0" fontId="4" numFmtId="0" xfId="0" applyAlignment="1" applyBorder="1" applyFont="1">
      <alignment readingOrder="0"/>
    </xf>
    <xf borderId="8" fillId="0" fontId="9" numFmtId="0" xfId="0" applyBorder="1" applyFont="1"/>
    <xf borderId="9" fillId="0" fontId="4" numFmtId="3" xfId="0" applyBorder="1" applyFont="1" applyNumberFormat="1"/>
    <xf borderId="7" fillId="0" fontId="6" numFmtId="0" xfId="0" applyBorder="1" applyFont="1"/>
    <xf borderId="9" fillId="0" fontId="6" numFmtId="165" xfId="0" applyBorder="1" applyFont="1" applyNumberFormat="1"/>
    <xf borderId="2" fillId="2" fontId="5" numFmtId="0" xfId="0" applyAlignment="1" applyBorder="1" applyFill="1" applyFont="1">
      <alignment horizontal="center" readingOrder="0" shrinkToFit="0" wrapText="1"/>
    </xf>
    <xf borderId="10" fillId="0" fontId="6" numFmtId="0" xfId="0" applyAlignment="1" applyBorder="1" applyFont="1">
      <alignment horizontal="center" readingOrder="0" vertical="center"/>
    </xf>
    <xf borderId="9" fillId="0" fontId="6" numFmtId="0" xfId="0" applyAlignment="1" applyBorder="1" applyFont="1">
      <alignment readingOrder="0"/>
    </xf>
    <xf borderId="1" fillId="3" fontId="6" numFmtId="3" xfId="0" applyAlignment="1" applyBorder="1" applyFill="1" applyFont="1" applyNumberFormat="1">
      <alignment horizontal="right" readingOrder="0"/>
    </xf>
    <xf borderId="1" fillId="0" fontId="6" numFmtId="3" xfId="0" applyAlignment="1" applyBorder="1" applyFont="1" applyNumberFormat="1">
      <alignment horizontal="right"/>
    </xf>
    <xf borderId="11" fillId="0" fontId="9" numFmtId="0" xfId="0" applyBorder="1" applyFont="1"/>
    <xf borderId="1" fillId="5" fontId="6" numFmtId="166" xfId="0" applyAlignment="1" applyBorder="1" applyFill="1" applyFont="1" applyNumberFormat="1">
      <alignment horizontal="right" readingOrder="0"/>
    </xf>
    <xf borderId="1" fillId="0" fontId="6" numFmtId="166" xfId="0" applyAlignment="1" applyBorder="1" applyFont="1" applyNumberFormat="1">
      <alignment horizontal="right"/>
    </xf>
    <xf borderId="0" fillId="5" fontId="6" numFmtId="166" xfId="0" applyAlignment="1" applyFill="1" applyFont="1" applyNumberFormat="1">
      <alignment horizontal="right" readingOrder="0"/>
    </xf>
    <xf borderId="0" fillId="0" fontId="6" numFmtId="166" xfId="0" applyAlignment="1" applyFont="1" applyNumberFormat="1">
      <alignment horizontal="right"/>
    </xf>
    <xf borderId="1" fillId="6" fontId="6" numFmtId="166" xfId="0" applyAlignment="1" applyBorder="1" applyFill="1" applyFont="1" applyNumberFormat="1">
      <alignment horizontal="right" readingOrder="0"/>
    </xf>
    <xf borderId="0" fillId="6" fontId="6" numFmtId="166" xfId="0" applyAlignment="1" applyFill="1" applyFont="1" applyNumberFormat="1">
      <alignment horizontal="right" readingOrder="0"/>
    </xf>
    <xf borderId="0" fillId="0" fontId="6" numFmtId="3" xfId="0" applyAlignment="1" applyFont="1" applyNumberFormat="1">
      <alignment readingOrder="0"/>
    </xf>
    <xf borderId="0" fillId="0" fontId="6" numFmtId="3" xfId="0" applyFont="1" applyNumberFormat="1"/>
    <xf borderId="1" fillId="7" fontId="6" numFmtId="164" xfId="0" applyAlignment="1" applyBorder="1" applyFill="1" applyFont="1" applyNumberFormat="1">
      <alignment horizontal="center" readingOrder="0"/>
    </xf>
    <xf borderId="1" fillId="7" fontId="6" numFmtId="3" xfId="0" applyAlignment="1" applyBorder="1" applyFill="1" applyFont="1" applyNumberFormat="1">
      <alignment readingOrder="0"/>
    </xf>
    <xf borderId="1" fillId="7" fontId="6" numFmtId="9" xfId="0" applyAlignment="1" applyBorder="1" applyFill="1" applyFont="1" applyNumberFormat="1">
      <alignment readingOrder="0"/>
    </xf>
    <xf borderId="1" fillId="7" fontId="6" numFmtId="165" xfId="0" applyAlignment="1" applyBorder="1" applyFill="1" applyFont="1" applyNumberFormat="1">
      <alignment readingOrder="0"/>
    </xf>
    <xf borderId="1" fillId="7" fontId="6" numFmtId="1" xfId="0" applyAlignment="1" applyBorder="1" applyFill="1" applyFont="1" applyNumberFormat="1">
      <alignment readingOrder="0"/>
    </xf>
    <xf applyFill="1" borderId="1" fillId="8" fontId="6" numFmtId="166" xfId="0" applyBorder="1" applyFont="1" applyNumberFormat="1"/>
    <xf borderId="1" fillId="8" fontId="6" numFmtId="9" xfId="0" applyAlignment="1" applyBorder="1" applyFill="1" applyFont="1" applyNumberFormat="1">
      <alignment readingOrder="0"/>
    </xf>
    <xf applyFill="1" borderId="1" fillId="8" fontId="6" numFmtId="3" xfId="0" applyBorder="1" applyFont="1" applyNumberFormat="1"/>
    <xf applyFill="1" borderId="1" fillId="8" fontId="6" numFmtId="165" xfId="0" applyBorder="1" applyFont="1" applyNumberFormat="1"/>
    <xf applyFill="1" borderId="1" fillId="8" fontId="6" numFmtId="0" xfId="0" applyAlignment="1" applyBorder="1" applyFont="1">
      <alignment horizontal="center"/>
    </xf>
    <xf applyFill="1" borderId="1" fillId="8" fontId="4" numFmtId="3" xfId="0" applyBorder="1" applyFont="1" applyNumberFormat="1"/>
    <xf applyFill="1" borderId="1" fillId="8" fontId="4" numFmtId="9" xfId="0" applyBorder="1" applyFont="1" applyNumberFormat="1"/>
    <xf applyFill="1" borderId="1" fillId="8" fontId="4" numFmtId="166" xfId="0" applyBorder="1" applyFont="1" applyNumberFormat="1"/>
    <xf applyFill="1" borderId="1" fillId="8" fontId="4" numFmtId="165" xfId="0" applyBorder="1" applyFont="1" applyNumberFormat="1"/>
    <xf applyFill="1" borderId="1" fillId="8" fontId="4" numFmtId="0" xfId="0" applyAlignment="1" applyBorder="1" applyFont="1">
      <alignment horizontal="center"/>
    </xf>
    <xf applyFill="1" borderId="1" fillId="8" fontId="6" numFmtId="9" xfId="0" applyBorder="1" applyFont="1" applyNumberFormat="1"/>
    <xf applyFill="1" borderId="2" fillId="8" fontId="6" numFmtId="9" xfId="0" applyBorder="1" applyFont="1" applyNumberFormat="1"/>
    <xf applyFill="1" borderId="2" fillId="8" fontId="6" numFmtId="3" xfId="0" applyBorder="1" applyFont="1" applyNumberFormat="1"/>
    <xf applyFill="1" borderId="3" fillId="8" fontId="6" numFmtId="0" xfId="0" applyAlignment="1" applyBorder="1" applyFont="1">
      <alignment horizontal="center"/>
    </xf>
    <xf applyFill="1" borderId="4" fillId="8" fontId="6" numFmtId="0" xfId="0" applyAlignment="1" applyBorder="1" applyFont="1">
      <alignment horizontal="center"/>
    </xf>
    <xf applyFill="1" borderId="9" fillId="8" fontId="4" numFmtId="3" xfId="0" applyBorder="1" applyFont="1" applyNumberFormat="1"/>
    <xf applyFill="1" borderId="9" fillId="8" fontId="6" numFmtId="165" xfId="0" applyBorder="1" applyFont="1" applyNumberFormat="1"/>
    <xf borderId="1" fillId="7" fontId="6" numFmtId="3" xfId="0" applyAlignment="1" applyBorder="1" applyFill="1" applyFont="1" applyNumberFormat="1">
      <alignment horizontal="right" readingOrder="0"/>
    </xf>
    <xf applyFill="1" borderId="1" fillId="8" fontId="6" numFmtId="3" xfId="0" applyAlignment="1" applyBorder="1" applyFont="1" applyNumberFormat="1">
      <alignment horizontal="right"/>
    </xf>
    <xf applyFill="1" borderId="1" fillId="8" fontId="6" numFmtId="166" xfId="0" applyAlignment="1" applyBorder="1" applyFont="1" applyNumberFormat="1">
      <alignment horizontal="right"/>
    </xf>
    <xf applyFill="1" borderId="0" fillId="8" fontId="6" numFmtId="166" xfId="0" applyAlignment="1" applyFont="1" applyNumberFormat="1">
      <alignment horizontal="right"/>
    </xf>
    <xf borderId="0" fillId="0" fontId="10" numFmtId="0" xfId="0" applyAlignment="1" applyBorder="1" applyFill="1" applyFont="1" applyNumberFormat="1">
      <alignment vertical="center"/>
    </xf>
    <xf borderId="13" fillId="0" fontId="11" numFmtId="0" xfId="0" applyAlignment="1" applyBorder="1" applyFill="1" applyFont="1" applyNumberFormat="1">
      <alignment vertical="center"/>
    </xf>
    <xf borderId="0" fillId="0" fontId="12" numFmtId="0" xfId="0" applyAlignment="1" applyBorder="1" applyFill="1" applyFont="1" applyNumberFormat="1">
      <alignment vertical="center"/>
    </xf>
    <xf borderId="0" fillId="0" fontId="16" numFmtId="0" xfId="0" applyAlignment="1" applyBorder="1" applyFill="1" applyFont="1" applyNumberFormat="1">
      <alignment vertical="center"/>
    </xf>
    <xf borderId="12" fillId="2" fontId="13" numFmtId="0" xfId="0" applyAlignment="1" applyBorder="1" applyFill="1" applyFont="1" applyNumberFormat="1">
      <alignment vertical="center" horizontal="center" wrapText="1"/>
    </xf>
    <xf borderId="12" fillId="0" fontId="12" numFmtId="0" xfId="0" applyAlignment="1" applyBorder="1" applyFill="1" applyFont="1" applyNumberFormat="1">
      <alignment vertical="center"/>
    </xf>
    <xf borderId="12" fillId="0" fontId="12" numFmtId="0" xfId="0" applyAlignment="1" applyBorder="1" applyFill="1" applyFont="1" applyNumberFormat="1">
      <alignment vertical="top" wrapText="1"/>
    </xf>
    <xf borderId="12" fillId="0" fontId="12" numFmtId="3" xfId="0" applyAlignment="1" applyBorder="1" applyFill="1" applyFont="1" applyNumberFormat="1">
      <alignment vertical="center"/>
    </xf>
    <xf borderId="12" fillId="0" fontId="12" numFmtId="200" xfId="0" applyAlignment="1" applyBorder="1" applyFill="1" applyFont="1" applyNumberFormat="1">
      <alignment vertical="center"/>
    </xf>
    <xf borderId="12" fillId="0" fontId="12" numFmtId="9" xfId="0" applyAlignment="1" applyBorder="1" applyFill="1" applyFont="1" applyNumberFormat="1">
      <alignment vertical="center"/>
    </xf>
    <xf borderId="12" fillId="0" fontId="12" numFmtId="0" xfId="0" applyAlignment="1" applyBorder="1" applyFill="1" applyFont="1" applyNumberFormat="1">
      <alignment vertical="center" horizontal="center"/>
    </xf>
    <xf borderId="12" fillId="9" fontId="14" numFmtId="0" xfId="0" applyAlignment="1" applyBorder="1" applyFill="1" applyFont="1" applyNumberFormat="1">
      <alignment vertical="center" horizontal="center"/>
    </xf>
    <xf borderId="12" fillId="10" fontId="15" numFmtId="0" xfId="0" applyAlignment="1" applyBorder="1" applyFill="1" applyFont="1" applyNumberFormat="1">
      <alignment vertical="center" horizontal="center"/>
    </xf>
    <xf borderId="12" fillId="9" fontId="14" numFmtId="200" xfId="0" applyAlignment="1" applyBorder="1" applyFill="1" applyFont="1" applyNumberFormat="1">
      <alignment vertical="center"/>
    </xf>
    <xf borderId="12" fillId="9" fontId="14" numFmtId="0" xfId="0" applyAlignment="1" applyBorder="1" applyFill="1" applyFont="1" applyNumberFormat="1">
      <alignment vertical="center" horizontal="center"/>
    </xf>
    <xf borderId="12" fillId="10" fontId="15" numFmtId="0" xfId="0" applyAlignment="1" applyBorder="1" applyFill="1" applyFont="1" applyNumberFormat="1">
      <alignment vertical="center" horizontal="center"/>
    </xf>
    <xf borderId="12" fillId="0" fontId="17" numFmtId="0" xfId="0" applyAlignment="1" applyBorder="1" applyFill="1" applyFont="1" applyNumberFormat="1">
      <alignment vertical="center" horizontal="center"/>
    </xf>
  </cellXfs>
  <cellStyles count="1">
    <cellStyle xfId="0" name="Normal" builtinId="0"/>
  </cellStyles>
  <dxfs count="2">
    <dxf>
      <font>
        <b/>
        <color rgb="FFCC0000"/>
      </font>
      <fill>
        <patternFill patternType="none"/>
      </fill>
      <border/>
    </dxf>
    <dxf>
      <font>
        <b/>
        <color rgb="FFE49138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_diag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4.75"/>
    <col customWidth="1" min="2" max="16" width="11.13"/>
  </cols>
  <sheetData>
    <row r="1">
      <c r="A1" s="1" t="s">
        <v>0</v>
      </c>
      <c r="D1" s="2" t="s">
        <v>1</v>
      </c>
      <c r="F1" s="2"/>
    </row>
    <row r="3">
      <c r="A3" s="3" t="s">
        <v>2</v>
      </c>
    </row>
    <row r="4">
      <c r="A4" s="4"/>
    </row>
    <row r="5">
      <c r="A5" s="4" t="s">
        <v>3</v>
      </c>
    </row>
    <row r="6" ht="27.0" customHeight="1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  <c r="F6" s="5" t="s">
        <v>9</v>
      </c>
      <c r="G6" s="5" t="s">
        <v>10</v>
      </c>
      <c r="H6" s="5" t="s">
        <v>11</v>
      </c>
      <c r="I6" s="5" t="s">
        <v>12</v>
      </c>
      <c r="K6" s="6" t="s">
        <v>13</v>
      </c>
    </row>
    <row r="7">
      <c r="A7" s="56">
        <v>46478.0</v>
      </c>
      <c r="B7" s="57">
        <v>5750.0</v>
      </c>
      <c r="C7" s="57">
        <v>250.0</v>
      </c>
      <c r="D7" s="58">
        <v>0.4</v>
      </c>
      <c r="E7" s="59">
        <v>1.5</v>
      </c>
      <c r="F7" s="60">
        <v>4.0</v>
      </c>
      <c r="G7" s="61">
        <f>C7*D7/12</f>
      </c>
      <c r="H7" s="61">
        <f>C7*D7*E7</f>
      </c>
      <c r="I7" s="61">
        <f>IF(B17=0,0,H7*H17/B17)</f>
      </c>
      <c r="K7" s="57">
        <v>0.0</v>
      </c>
    </row>
    <row r="8">
      <c r="A8" s="13"/>
      <c r="B8" s="13"/>
      <c r="C8" s="13"/>
    </row>
    <row r="9">
      <c r="A9" s="4" t="s">
        <v>14</v>
      </c>
    </row>
    <row r="10">
      <c r="A10" s="5" t="s">
        <v>15</v>
      </c>
      <c r="B10" s="5" t="s">
        <v>16</v>
      </c>
      <c r="C10" s="5" t="s">
        <v>17</v>
      </c>
      <c r="D10" s="5" t="s">
        <v>18</v>
      </c>
      <c r="E10" s="5" t="s">
        <v>19</v>
      </c>
      <c r="F10" s="5" t="s">
        <v>20</v>
      </c>
      <c r="G10" s="5" t="s">
        <v>21</v>
      </c>
      <c r="H10" s="5" t="s">
        <v>22</v>
      </c>
      <c r="I10" s="5" t="s">
        <v>23</v>
      </c>
      <c r="J10" s="5" t="s">
        <v>24</v>
      </c>
      <c r="K10" s="5" t="s">
        <v>25</v>
      </c>
      <c r="L10" s="5" t="s">
        <v>26</v>
      </c>
      <c r="M10" s="5" t="s">
        <v>27</v>
      </c>
      <c r="N10" s="5" t="s">
        <v>8</v>
      </c>
      <c r="O10" s="5" t="s">
        <v>28</v>
      </c>
    </row>
    <row r="11">
      <c r="A11" s="14" t="s">
        <v>29</v>
      </c>
      <c r="B11" s="57">
        <v>220.0</v>
      </c>
      <c r="C11" s="62">
        <f t="shared" ref="C11:C17" si="1">IF(B11=0,0,D11/B11)</f>
      </c>
      <c r="D11" s="57">
        <v>55.0</v>
      </c>
      <c r="E11" s="62">
        <f t="shared" ref="E11:E17" si="2">IF(D11=0,0,F11/D11)</f>
      </c>
      <c r="F11" s="57">
        <v>22.0</v>
      </c>
      <c r="G11" s="62">
        <f t="shared" ref="G11:G17" si="3">IF(F11=0,0,H11/F11)</f>
      </c>
      <c r="H11" s="57">
        <v>6.0</v>
      </c>
      <c r="I11" s="63">
        <f t="shared" ref="I11:I16" si="4">H11*$C$7</f>
      </c>
      <c r="J11" s="57">
        <v>500.0</v>
      </c>
      <c r="K11" s="57">
        <v>107.0</v>
      </c>
      <c r="L11" s="61">
        <f t="shared" ref="L11:L17" si="5">IF(B11=0,0,(J11+K11)/B11)</f>
      </c>
      <c r="M11" s="63">
        <f t="shared" ref="M11:M17" si="6">IF(H11=0,0,(J11+K11)/H11)</f>
      </c>
      <c r="N11" s="64">
        <f t="shared" ref="N11:N17" si="7">IF($G$7=0,0,M11/$G$7)</f>
      </c>
      <c r="O11" s="65">
        <f t="shared" ref="O11:O17" si="8">IF(B11=0,"",IF(L11&lt;=$I$7,"上限内","上限超え"))</f>
      </c>
    </row>
    <row r="12">
      <c r="A12" s="14" t="s">
        <v>30</v>
      </c>
      <c r="B12" s="57">
        <v>80.0</v>
      </c>
      <c r="C12" s="62">
        <f t="shared" si="1"/>
      </c>
      <c r="D12" s="57">
        <v>50.0</v>
      </c>
      <c r="E12" s="62">
        <f t="shared" si="2"/>
      </c>
      <c r="F12" s="57">
        <v>20.0</v>
      </c>
      <c r="G12" s="62">
        <f t="shared" si="3"/>
      </c>
      <c r="H12" s="57">
        <v>6.0</v>
      </c>
      <c r="I12" s="63">
        <f t="shared" si="4"/>
      </c>
      <c r="J12" s="57">
        <v>90.0</v>
      </c>
      <c r="K12" s="57">
        <v>80.0</v>
      </c>
      <c r="L12" s="61">
        <f t="shared" si="5"/>
      </c>
      <c r="M12" s="63">
        <f t="shared" si="6"/>
      </c>
      <c r="N12" s="64">
        <f t="shared" si="7"/>
      </c>
      <c r="O12" s="65">
        <f t="shared" si="8"/>
      </c>
    </row>
    <row r="13">
      <c r="A13" s="14" t="s">
        <v>31</v>
      </c>
      <c r="B13" s="57">
        <v>95.0</v>
      </c>
      <c r="C13" s="62">
        <f t="shared" si="1"/>
      </c>
      <c r="D13" s="57">
        <v>43.0</v>
      </c>
      <c r="E13" s="62">
        <f t="shared" si="2"/>
      </c>
      <c r="F13" s="57">
        <v>17.0</v>
      </c>
      <c r="G13" s="62">
        <f t="shared" si="3"/>
      </c>
      <c r="H13" s="57">
        <v>5.0</v>
      </c>
      <c r="I13" s="63">
        <f t="shared" si="4"/>
      </c>
      <c r="J13" s="57">
        <v>488.0</v>
      </c>
      <c r="K13" s="57">
        <v>35.0</v>
      </c>
      <c r="L13" s="61">
        <f t="shared" si="5"/>
      </c>
      <c r="M13" s="63">
        <f t="shared" si="6"/>
      </c>
      <c r="N13" s="64">
        <f t="shared" si="7"/>
      </c>
      <c r="O13" s="65">
        <f t="shared" si="8"/>
      </c>
    </row>
    <row r="14">
      <c r="A14" s="14" t="s">
        <v>32</v>
      </c>
      <c r="B14" s="57">
        <v>90.0</v>
      </c>
      <c r="C14" s="62">
        <f t="shared" si="1"/>
      </c>
      <c r="D14" s="57">
        <v>34.0</v>
      </c>
      <c r="E14" s="62">
        <f t="shared" si="2"/>
      </c>
      <c r="F14" s="57">
        <v>14.0</v>
      </c>
      <c r="G14" s="62">
        <f t="shared" si="3"/>
      </c>
      <c r="H14" s="57">
        <v>4.0</v>
      </c>
      <c r="I14" s="63">
        <f t="shared" si="4"/>
      </c>
      <c r="J14" s="57">
        <v>356.0</v>
      </c>
      <c r="K14" s="57">
        <v>141.0</v>
      </c>
      <c r="L14" s="61">
        <f t="shared" si="5"/>
      </c>
      <c r="M14" s="63">
        <f t="shared" si="6"/>
      </c>
      <c r="N14" s="64">
        <f t="shared" si="7"/>
      </c>
      <c r="O14" s="65">
        <f t="shared" si="8"/>
      </c>
    </row>
    <row r="15">
      <c r="A15" s="14" t="s">
        <v>33</v>
      </c>
      <c r="B15" s="57">
        <v>12.0</v>
      </c>
      <c r="C15" s="62">
        <f t="shared" si="1"/>
      </c>
      <c r="D15" s="57">
        <v>5.0</v>
      </c>
      <c r="E15" s="62">
        <f t="shared" si="2"/>
      </c>
      <c r="F15" s="57">
        <v>2.0</v>
      </c>
      <c r="G15" s="62">
        <f t="shared" si="3"/>
      </c>
      <c r="H15" s="57">
        <v>1.0</v>
      </c>
      <c r="I15" s="63">
        <f t="shared" si="4"/>
      </c>
      <c r="J15" s="57">
        <v>12.0</v>
      </c>
      <c r="K15" s="57">
        <v>42.0</v>
      </c>
      <c r="L15" s="61">
        <f t="shared" si="5"/>
      </c>
      <c r="M15" s="63">
        <f t="shared" si="6"/>
      </c>
      <c r="N15" s="64">
        <f t="shared" si="7"/>
      </c>
      <c r="O15" s="65">
        <f t="shared" si="8"/>
      </c>
    </row>
    <row r="16">
      <c r="A16" s="14" t="s">
        <v>34</v>
      </c>
      <c r="B16" s="57">
        <v>20.0</v>
      </c>
      <c r="C16" s="62">
        <f t="shared" si="1"/>
      </c>
      <c r="D16" s="57">
        <v>8.0</v>
      </c>
      <c r="E16" s="62">
        <f t="shared" si="2"/>
      </c>
      <c r="F16" s="57">
        <v>3.0</v>
      </c>
      <c r="G16" s="62">
        <f t="shared" si="3"/>
      </c>
      <c r="H16" s="57">
        <v>1.0</v>
      </c>
      <c r="I16" s="63">
        <f t="shared" si="4"/>
      </c>
      <c r="J16" s="57">
        <v>96.0</v>
      </c>
      <c r="K16" s="57">
        <v>107.0</v>
      </c>
      <c r="L16" s="61">
        <f t="shared" si="5"/>
      </c>
      <c r="M16" s="63">
        <f t="shared" si="6"/>
      </c>
      <c r="N16" s="64">
        <f t="shared" si="7"/>
      </c>
      <c r="O16" s="65">
        <f t="shared" si="8"/>
      </c>
    </row>
    <row r="17">
      <c r="A17" s="19" t="s">
        <v>35</v>
      </c>
      <c r="B17" s="66">
        <f>SUM(B11:B16)</f>
      </c>
      <c r="C17" s="67">
        <f t="shared" si="1"/>
      </c>
      <c r="D17" s="66">
        <f>SUM(D11:D16)</f>
      </c>
      <c r="E17" s="67">
        <f t="shared" si="2"/>
      </c>
      <c r="F17" s="66">
        <f>SUM(F11:F16)</f>
      </c>
      <c r="G17" s="67">
        <f t="shared" si="3"/>
      </c>
      <c r="H17" s="66">
        <f t="shared" ref="H17:K17" si="9">SUM(H11:H16)</f>
      </c>
      <c r="I17" s="66">
        <f t="shared" si="9"/>
      </c>
      <c r="J17" s="66">
        <f t="shared" si="9"/>
      </c>
      <c r="K17" s="66">
        <f t="shared" si="9"/>
      </c>
      <c r="L17" s="68">
        <f t="shared" si="5"/>
      </c>
      <c r="M17" s="66">
        <f t="shared" si="6"/>
      </c>
      <c r="N17" s="69">
        <f t="shared" si="7"/>
      </c>
      <c r="O17" s="70">
        <f t="shared" si="8"/>
      </c>
    </row>
    <row r="18">
      <c r="A18" s="25" t="s">
        <v>36</v>
      </c>
    </row>
    <row r="20">
      <c r="A20" s="4" t="s">
        <v>37</v>
      </c>
      <c r="K20" s="4" t="s">
        <v>38</v>
      </c>
    </row>
    <row r="21">
      <c r="A21" s="26"/>
      <c r="B21" s="6" t="s">
        <v>16</v>
      </c>
      <c r="C21" s="5" t="s">
        <v>17</v>
      </c>
      <c r="D21" s="6" t="s">
        <v>18</v>
      </c>
      <c r="E21" s="5" t="s">
        <v>19</v>
      </c>
      <c r="F21" s="6" t="s">
        <v>20</v>
      </c>
      <c r="G21" s="5" t="s">
        <v>21</v>
      </c>
      <c r="H21" s="6" t="s">
        <v>22</v>
      </c>
      <c r="I21" s="5" t="s">
        <v>23</v>
      </c>
      <c r="K21" s="6" t="s">
        <v>39</v>
      </c>
      <c r="L21" s="6" t="s">
        <v>40</v>
      </c>
    </row>
    <row r="22">
      <c r="A22" s="14" t="s">
        <v>41</v>
      </c>
      <c r="B22" s="63">
        <f>IF(D23=0,0,ROUNDUP(D22*B23/D23,0))</f>
      </c>
      <c r="C22" s="71">
        <f t="shared" ref="C22:C23" si="10">IF(B22=0,0,D22/B22)</f>
      </c>
      <c r="D22" s="63">
        <f>IF(F23=0,0,ROUNDUP(F22*D23/F23,0))</f>
      </c>
      <c r="E22" s="71">
        <f t="shared" ref="E22:E23" si="11">IF(D22=0,0,F22/D22)</f>
      </c>
      <c r="F22" s="63">
        <f>IF(H23=0,0,ROUNDUP(H22*F23/H23,0))</f>
      </c>
      <c r="G22" s="71">
        <f t="shared" ref="G22:G23" si="12">IF(F22=0,0,H22/F22)</f>
      </c>
      <c r="H22" s="63">
        <f>IF(C7=0,0,ROUNDUP(B7/C7,0))</f>
      </c>
      <c r="I22" s="63">
        <f>B7</f>
      </c>
      <c r="K22" s="63">
        <f>J17+K17+K7</f>
      </c>
      <c r="L22" s="71">
        <f>IF(K22=0,0,(I17*D7-K22)/K22)</f>
      </c>
    </row>
    <row r="23">
      <c r="A23" s="14" t="s">
        <v>42</v>
      </c>
      <c r="B23" s="63">
        <f>B17</f>
      </c>
      <c r="C23" s="72">
        <f t="shared" si="10"/>
      </c>
      <c r="D23" s="73">
        <f>D17</f>
      </c>
      <c r="E23" s="72">
        <f t="shared" si="11"/>
      </c>
      <c r="F23" s="73">
        <f>F17</f>
      </c>
      <c r="G23" s="72">
        <f t="shared" si="12"/>
      </c>
      <c r="H23" s="73">
        <f t="shared" ref="H23:I23" si="13">H17</f>
      </c>
      <c r="I23" s="73">
        <f t="shared" si="13"/>
      </c>
    </row>
    <row r="24">
      <c r="A24" s="14" t="s">
        <v>43</v>
      </c>
      <c r="B24" s="74">
        <f>IF(B23&gt;=B22,"足りる","直す")</f>
      </c>
      <c r="C24" s="31" t="s">
        <v>44</v>
      </c>
      <c r="D24" s="75">
        <f>IF(D23&gt;=D22,"足りる","直す")</f>
      </c>
      <c r="E24" s="31" t="s">
        <v>44</v>
      </c>
      <c r="F24" s="75">
        <f>IF(F23&gt;=F22,"足りる","直す")</f>
      </c>
      <c r="G24" s="31" t="s">
        <v>44</v>
      </c>
      <c r="H24" s="75">
        <f t="shared" ref="H24:I24" si="14">IF(H23&gt;=H22,"足りる","直す")</f>
      </c>
      <c r="I24" s="75">
        <f t="shared" si="14"/>
      </c>
    </row>
    <row r="26">
      <c r="A26" s="4"/>
    </row>
    <row r="27">
      <c r="A27" s="3" t="s">
        <v>45</v>
      </c>
    </row>
    <row r="29">
      <c r="A29" s="4" t="s">
        <v>46</v>
      </c>
      <c r="C29" s="33" t="s">
        <v>47</v>
      </c>
    </row>
    <row r="30">
      <c r="A30" s="34"/>
      <c r="B30" s="35"/>
      <c r="C30" s="36" t="s">
        <v>48</v>
      </c>
      <c r="D30" s="36" t="s">
        <v>49</v>
      </c>
      <c r="E30" s="36" t="s">
        <v>50</v>
      </c>
      <c r="F30" s="36" t="s">
        <v>51</v>
      </c>
      <c r="G30" s="36" t="s">
        <v>52</v>
      </c>
      <c r="H30" s="36" t="s">
        <v>53</v>
      </c>
      <c r="I30" s="36" t="s">
        <v>54</v>
      </c>
      <c r="J30" s="36" t="s">
        <v>55</v>
      </c>
      <c r="K30" s="36" t="s">
        <v>56</v>
      </c>
      <c r="L30" s="36" t="s">
        <v>57</v>
      </c>
      <c r="M30" s="36" t="s">
        <v>58</v>
      </c>
      <c r="N30" s="36" t="s">
        <v>59</v>
      </c>
      <c r="O30" s="6" t="s">
        <v>60</v>
      </c>
      <c r="P30" s="6" t="s">
        <v>61</v>
      </c>
    </row>
    <row r="31">
      <c r="A31" s="37" t="s">
        <v>16</v>
      </c>
      <c r="B31" s="38"/>
      <c r="C31" s="76">
        <f t="shared" ref="C31:N31" si="15">C38+C44+C50+C56+C62+C68</f>
      </c>
      <c r="D31" s="66">
        <f t="shared" si="15"/>
      </c>
      <c r="E31" s="66">
        <f t="shared" si="15"/>
      </c>
      <c r="F31" s="66">
        <f t="shared" si="15"/>
      </c>
      <c r="G31" s="66">
        <f t="shared" si="15"/>
      </c>
      <c r="H31" s="66">
        <f t="shared" si="15"/>
      </c>
      <c r="I31" s="66">
        <f t="shared" si="15"/>
      </c>
      <c r="J31" s="66">
        <f t="shared" si="15"/>
      </c>
      <c r="K31" s="66">
        <f t="shared" si="15"/>
      </c>
      <c r="L31" s="66">
        <f t="shared" si="15"/>
      </c>
      <c r="M31" s="66">
        <f t="shared" si="15"/>
      </c>
      <c r="N31" s="66">
        <f t="shared" si="15"/>
      </c>
      <c r="O31" s="66">
        <f t="shared" ref="O31:O33" si="17">SUM(C31:N31)</f>
      </c>
      <c r="P31" s="66">
        <f>O31-B17</f>
      </c>
    </row>
    <row r="32">
      <c r="A32" s="40" t="s">
        <v>18</v>
      </c>
      <c r="B32" s="38"/>
      <c r="C32" s="76">
        <f t="shared" ref="C32:N32" si="16">C39+C45+C51+C57+C63+C69</f>
      </c>
      <c r="D32" s="66">
        <f t="shared" si="16"/>
      </c>
      <c r="E32" s="66">
        <f t="shared" si="16"/>
      </c>
      <c r="F32" s="66">
        <f t="shared" si="16"/>
      </c>
      <c r="G32" s="66">
        <f t="shared" si="16"/>
      </c>
      <c r="H32" s="66">
        <f t="shared" si="16"/>
      </c>
      <c r="I32" s="66">
        <f t="shared" si="16"/>
      </c>
      <c r="J32" s="66">
        <f t="shared" si="16"/>
      </c>
      <c r="K32" s="66">
        <f t="shared" si="16"/>
      </c>
      <c r="L32" s="66">
        <f t="shared" si="16"/>
      </c>
      <c r="M32" s="66">
        <f t="shared" si="16"/>
      </c>
      <c r="N32" s="66">
        <f t="shared" si="16"/>
      </c>
      <c r="O32" s="66">
        <f t="shared" si="17"/>
      </c>
      <c r="P32" s="66">
        <f>O32-D17</f>
      </c>
    </row>
    <row r="33">
      <c r="A33" s="40" t="s">
        <v>62</v>
      </c>
      <c r="B33" s="38"/>
      <c r="C33" s="77">
        <f t="shared" ref="C33:N33" si="18">IF($D$17=0,0,INDEX($C$32:$N$32,MOD(COLUMN()-COLUMN($C$32)-$F$7,12)+1)*$H$17/$D$17)</f>
      </c>
      <c r="D33" s="64">
        <f t="shared" si="18"/>
      </c>
      <c r="E33" s="64">
        <f t="shared" si="18"/>
      </c>
      <c r="F33" s="64">
        <f t="shared" si="18"/>
      </c>
      <c r="G33" s="64">
        <f t="shared" si="18"/>
      </c>
      <c r="H33" s="64">
        <f t="shared" si="18"/>
      </c>
      <c r="I33" s="64">
        <f t="shared" si="18"/>
      </c>
      <c r="J33" s="64">
        <f t="shared" si="18"/>
      </c>
      <c r="K33" s="64">
        <f t="shared" si="18"/>
      </c>
      <c r="L33" s="64">
        <f t="shared" si="18"/>
      </c>
      <c r="M33" s="64">
        <f t="shared" si="18"/>
      </c>
      <c r="N33" s="64">
        <f t="shared" si="18"/>
      </c>
      <c r="O33" s="64">
        <f t="shared" si="17"/>
      </c>
      <c r="P33" s="64">
        <f>O33-H17</f>
      </c>
    </row>
    <row r="34">
      <c r="A34" s="25" t="s">
        <v>63</v>
      </c>
    </row>
    <row r="36">
      <c r="A36" s="4" t="s">
        <v>64</v>
      </c>
    </row>
    <row r="37">
      <c r="A37" s="42" t="s">
        <v>15</v>
      </c>
      <c r="B37" s="6" t="s">
        <v>29</v>
      </c>
      <c r="C37" s="36" t="s">
        <v>48</v>
      </c>
      <c r="D37" s="36" t="s">
        <v>49</v>
      </c>
      <c r="E37" s="36" t="s">
        <v>50</v>
      </c>
      <c r="F37" s="36" t="s">
        <v>51</v>
      </c>
      <c r="G37" s="36" t="s">
        <v>52</v>
      </c>
      <c r="H37" s="36" t="s">
        <v>53</v>
      </c>
      <c r="I37" s="36" t="s">
        <v>54</v>
      </c>
      <c r="J37" s="36" t="s">
        <v>55</v>
      </c>
      <c r="K37" s="36" t="s">
        <v>56</v>
      </c>
      <c r="L37" s="36" t="s">
        <v>57</v>
      </c>
      <c r="M37" s="36" t="s">
        <v>58</v>
      </c>
      <c r="N37" s="36" t="s">
        <v>59</v>
      </c>
      <c r="O37" s="6" t="s">
        <v>60</v>
      </c>
      <c r="P37" s="6" t="s">
        <v>61</v>
      </c>
    </row>
    <row r="38">
      <c r="A38" s="43" t="s">
        <v>29</v>
      </c>
      <c r="B38" s="44" t="s">
        <v>16</v>
      </c>
      <c r="C38" s="78">
        <v>0.0</v>
      </c>
      <c r="D38" s="78">
        <v>0.0</v>
      </c>
      <c r="E38" s="78">
        <v>110.0</v>
      </c>
      <c r="F38" s="78">
        <v>0.0</v>
      </c>
      <c r="G38" s="78">
        <v>0.0</v>
      </c>
      <c r="H38" s="78">
        <v>0.0</v>
      </c>
      <c r="I38" s="78">
        <v>0.0</v>
      </c>
      <c r="J38" s="78">
        <v>110.0</v>
      </c>
      <c r="K38" s="78">
        <v>0.0</v>
      </c>
      <c r="L38" s="78">
        <v>0.0</v>
      </c>
      <c r="M38" s="78">
        <v>0.0</v>
      </c>
      <c r="N38" s="78">
        <v>0.0</v>
      </c>
      <c r="O38" s="79">
        <f t="shared" ref="O38:O41" si="19">SUM(C38:N38)</f>
      </c>
      <c r="P38" s="79">
        <f>O38-$B$11</f>
      </c>
    </row>
    <row r="39">
      <c r="A39" s="47"/>
      <c r="B39" s="44" t="s">
        <v>18</v>
      </c>
      <c r="C39" s="78">
        <v>0.0</v>
      </c>
      <c r="D39" s="78">
        <v>0.0</v>
      </c>
      <c r="E39" s="78">
        <v>28.0</v>
      </c>
      <c r="F39" s="78">
        <v>0.0</v>
      </c>
      <c r="G39" s="78">
        <v>0.0</v>
      </c>
      <c r="H39" s="78">
        <v>0.0</v>
      </c>
      <c r="I39" s="78">
        <v>0.0</v>
      </c>
      <c r="J39" s="78">
        <v>27.0</v>
      </c>
      <c r="K39" s="78">
        <v>0.0</v>
      </c>
      <c r="L39" s="78">
        <v>0.0</v>
      </c>
      <c r="M39" s="78">
        <v>0.0</v>
      </c>
      <c r="N39" s="78">
        <v>0.0</v>
      </c>
      <c r="O39" s="79">
        <f t="shared" si="19"/>
      </c>
      <c r="P39" s="79">
        <f>O39-$D$11</f>
      </c>
    </row>
    <row r="40">
      <c r="A40" s="47"/>
      <c r="B40" s="44" t="s">
        <v>24</v>
      </c>
      <c r="C40" s="48">
        <f t="shared" ref="C40:N40" si="20">$J$11/12</f>
      </c>
      <c r="D40" s="48">
        <f t="shared" si="20"/>
      </c>
      <c r="E40" s="48">
        <f t="shared" si="20"/>
      </c>
      <c r="F40" s="48">
        <f t="shared" si="20"/>
      </c>
      <c r="G40" s="48">
        <f t="shared" si="20"/>
      </c>
      <c r="H40" s="48">
        <f t="shared" si="20"/>
      </c>
      <c r="I40" s="48">
        <f t="shared" si="20"/>
      </c>
      <c r="J40" s="48">
        <f t="shared" si="20"/>
      </c>
      <c r="K40" s="48">
        <f t="shared" si="20"/>
      </c>
      <c r="L40" s="48">
        <f t="shared" si="20"/>
      </c>
      <c r="M40" s="48">
        <f t="shared" si="20"/>
      </c>
      <c r="N40" s="48">
        <f t="shared" si="20"/>
      </c>
      <c r="O40" s="80">
        <f t="shared" si="19"/>
      </c>
      <c r="P40" s="80">
        <f>O40-$J$11</f>
      </c>
    </row>
    <row r="41">
      <c r="A41" s="47"/>
      <c r="B41" s="13" t="s">
        <v>25</v>
      </c>
      <c r="C41" s="50">
        <f t="shared" ref="C41:N41" si="21">$K$11/12</f>
      </c>
      <c r="D41" s="50">
        <f t="shared" si="21"/>
      </c>
      <c r="E41" s="50">
        <f t="shared" si="21"/>
      </c>
      <c r="F41" s="50">
        <f t="shared" si="21"/>
      </c>
      <c r="G41" s="50">
        <f t="shared" si="21"/>
      </c>
      <c r="H41" s="50">
        <f t="shared" si="21"/>
      </c>
      <c r="I41" s="50">
        <f t="shared" si="21"/>
      </c>
      <c r="J41" s="50">
        <f t="shared" si="21"/>
      </c>
      <c r="K41" s="50">
        <f t="shared" si="21"/>
      </c>
      <c r="L41" s="50">
        <f t="shared" si="21"/>
      </c>
      <c r="M41" s="50">
        <f t="shared" si="21"/>
      </c>
      <c r="N41" s="50">
        <f t="shared" si="21"/>
      </c>
      <c r="O41" s="81">
        <f t="shared" si="19"/>
      </c>
      <c r="P41" s="81">
        <f>O41-$K$11</f>
      </c>
    </row>
    <row r="43">
      <c r="A43" s="42" t="s">
        <v>15</v>
      </c>
      <c r="B43" s="6" t="s">
        <v>30</v>
      </c>
      <c r="C43" s="36" t="s">
        <v>48</v>
      </c>
      <c r="D43" s="36" t="s">
        <v>49</v>
      </c>
      <c r="E43" s="36" t="s">
        <v>50</v>
      </c>
      <c r="F43" s="36" t="s">
        <v>51</v>
      </c>
      <c r="G43" s="36" t="s">
        <v>52</v>
      </c>
      <c r="H43" s="36" t="s">
        <v>53</v>
      </c>
      <c r="I43" s="36" t="s">
        <v>54</v>
      </c>
      <c r="J43" s="36" t="s">
        <v>55</v>
      </c>
      <c r="K43" s="36" t="s">
        <v>56</v>
      </c>
      <c r="L43" s="36" t="s">
        <v>57</v>
      </c>
      <c r="M43" s="36" t="s">
        <v>58</v>
      </c>
      <c r="N43" s="36" t="s">
        <v>59</v>
      </c>
      <c r="O43" s="6" t="s">
        <v>60</v>
      </c>
      <c r="P43" s="6" t="s">
        <v>61</v>
      </c>
    </row>
    <row r="44">
      <c r="A44" s="43" t="s">
        <v>30</v>
      </c>
      <c r="B44" s="44" t="s">
        <v>16</v>
      </c>
      <c r="C44" s="78">
        <v>0.0</v>
      </c>
      <c r="D44" s="78">
        <v>13.0</v>
      </c>
      <c r="E44" s="78">
        <v>0.0</v>
      </c>
      <c r="F44" s="78">
        <v>13.0</v>
      </c>
      <c r="G44" s="78">
        <v>0.0</v>
      </c>
      <c r="H44" s="78">
        <v>13.0</v>
      </c>
      <c r="I44" s="78">
        <v>0.0</v>
      </c>
      <c r="J44" s="78">
        <v>13.0</v>
      </c>
      <c r="K44" s="78">
        <v>0.0</v>
      </c>
      <c r="L44" s="78">
        <v>14.0</v>
      </c>
      <c r="M44" s="78">
        <v>0.0</v>
      </c>
      <c r="N44" s="78">
        <v>14.0</v>
      </c>
      <c r="O44" s="79">
        <f t="shared" ref="O44:O47" si="22">SUM(C44:N44)</f>
      </c>
      <c r="P44" s="79">
        <f>O44-$B$12</f>
      </c>
    </row>
    <row r="45">
      <c r="A45" s="47"/>
      <c r="B45" s="44" t="s">
        <v>18</v>
      </c>
      <c r="C45" s="78">
        <v>0.0</v>
      </c>
      <c r="D45" s="78">
        <v>8.0</v>
      </c>
      <c r="E45" s="78">
        <v>0.0</v>
      </c>
      <c r="F45" s="78">
        <v>8.0</v>
      </c>
      <c r="G45" s="78">
        <v>0.0</v>
      </c>
      <c r="H45" s="78">
        <v>8.0</v>
      </c>
      <c r="I45" s="78">
        <v>0.0</v>
      </c>
      <c r="J45" s="78">
        <v>8.0</v>
      </c>
      <c r="K45" s="78">
        <v>0.0</v>
      </c>
      <c r="L45" s="78">
        <v>9.0</v>
      </c>
      <c r="M45" s="78">
        <v>0.0</v>
      </c>
      <c r="N45" s="78">
        <v>9.0</v>
      </c>
      <c r="O45" s="79">
        <f t="shared" si="22"/>
      </c>
      <c r="P45" s="79">
        <f>O45-$D$12</f>
      </c>
    </row>
    <row r="46">
      <c r="A46" s="47"/>
      <c r="B46" s="44" t="s">
        <v>24</v>
      </c>
      <c r="C46" s="52">
        <f t="shared" ref="C46:N46" si="23">$J$12/12</f>
      </c>
      <c r="D46" s="52">
        <f t="shared" si="23"/>
      </c>
      <c r="E46" s="52">
        <f t="shared" si="23"/>
      </c>
      <c r="F46" s="52">
        <f t="shared" si="23"/>
      </c>
      <c r="G46" s="52">
        <f t="shared" si="23"/>
      </c>
      <c r="H46" s="52">
        <f t="shared" si="23"/>
      </c>
      <c r="I46" s="52">
        <f t="shared" si="23"/>
      </c>
      <c r="J46" s="52">
        <f t="shared" si="23"/>
      </c>
      <c r="K46" s="52">
        <f t="shared" si="23"/>
      </c>
      <c r="L46" s="52">
        <f t="shared" si="23"/>
      </c>
      <c r="M46" s="52">
        <f t="shared" si="23"/>
      </c>
      <c r="N46" s="52">
        <f t="shared" si="23"/>
      </c>
      <c r="O46" s="80">
        <f t="shared" si="22"/>
      </c>
      <c r="P46" s="80">
        <f>O46-$J$12</f>
      </c>
    </row>
    <row r="47">
      <c r="A47" s="47"/>
      <c r="B47" s="13" t="s">
        <v>25</v>
      </c>
      <c r="C47" s="53">
        <f t="shared" ref="C47:N47" si="24">$K$12/12</f>
      </c>
      <c r="D47" s="53">
        <f t="shared" si="24"/>
      </c>
      <c r="E47" s="53">
        <f t="shared" si="24"/>
      </c>
      <c r="F47" s="53">
        <f t="shared" si="24"/>
      </c>
      <c r="G47" s="53">
        <f t="shared" si="24"/>
      </c>
      <c r="H47" s="53">
        <f t="shared" si="24"/>
      </c>
      <c r="I47" s="53">
        <f t="shared" si="24"/>
      </c>
      <c r="J47" s="53">
        <f t="shared" si="24"/>
      </c>
      <c r="K47" s="53">
        <f t="shared" si="24"/>
      </c>
      <c r="L47" s="53">
        <f t="shared" si="24"/>
      </c>
      <c r="M47" s="53">
        <f t="shared" si="24"/>
      </c>
      <c r="N47" s="53">
        <f t="shared" si="24"/>
      </c>
      <c r="O47" s="81">
        <f t="shared" si="22"/>
      </c>
      <c r="P47" s="81">
        <f>O47-$K$12</f>
      </c>
    </row>
    <row r="49">
      <c r="A49" s="42" t="s">
        <v>15</v>
      </c>
      <c r="B49" s="6" t="s">
        <v>31</v>
      </c>
      <c r="C49" s="36" t="s">
        <v>48</v>
      </c>
      <c r="D49" s="36" t="s">
        <v>49</v>
      </c>
      <c r="E49" s="36" t="s">
        <v>50</v>
      </c>
      <c r="F49" s="36" t="s">
        <v>51</v>
      </c>
      <c r="G49" s="36" t="s">
        <v>52</v>
      </c>
      <c r="H49" s="36" t="s">
        <v>53</v>
      </c>
      <c r="I49" s="36" t="s">
        <v>54</v>
      </c>
      <c r="J49" s="36" t="s">
        <v>55</v>
      </c>
      <c r="K49" s="36" t="s">
        <v>56</v>
      </c>
      <c r="L49" s="36" t="s">
        <v>57</v>
      </c>
      <c r="M49" s="36" t="s">
        <v>58</v>
      </c>
      <c r="N49" s="36" t="s">
        <v>59</v>
      </c>
      <c r="O49" s="6" t="s">
        <v>60</v>
      </c>
      <c r="P49" s="6" t="s">
        <v>61</v>
      </c>
    </row>
    <row r="50">
      <c r="A50" s="43" t="s">
        <v>31</v>
      </c>
      <c r="B50" s="44" t="s">
        <v>16</v>
      </c>
      <c r="C50" s="78">
        <v>5.0</v>
      </c>
      <c r="D50" s="78">
        <v>9.0</v>
      </c>
      <c r="E50" s="78">
        <v>9.0</v>
      </c>
      <c r="F50" s="78">
        <v>9.0</v>
      </c>
      <c r="G50" s="78">
        <v>9.0</v>
      </c>
      <c r="H50" s="78">
        <v>9.0</v>
      </c>
      <c r="I50" s="78">
        <v>9.0</v>
      </c>
      <c r="J50" s="78">
        <v>9.0</v>
      </c>
      <c r="K50" s="78">
        <v>10.0</v>
      </c>
      <c r="L50" s="78">
        <v>6.0</v>
      </c>
      <c r="M50" s="78">
        <v>6.0</v>
      </c>
      <c r="N50" s="78">
        <v>5.0</v>
      </c>
      <c r="O50" s="79">
        <f t="shared" ref="O50:O53" si="25">SUM(C50:N50)</f>
      </c>
      <c r="P50" s="79">
        <f>O50-$B$13</f>
      </c>
    </row>
    <row r="51">
      <c r="A51" s="47"/>
      <c r="B51" s="44" t="s">
        <v>18</v>
      </c>
      <c r="C51" s="78">
        <v>2.0</v>
      </c>
      <c r="D51" s="78">
        <v>4.0</v>
      </c>
      <c r="E51" s="78">
        <v>4.0</v>
      </c>
      <c r="F51" s="78">
        <v>4.0</v>
      </c>
      <c r="G51" s="78">
        <v>4.0</v>
      </c>
      <c r="H51" s="78">
        <v>4.0</v>
      </c>
      <c r="I51" s="78">
        <v>4.0</v>
      </c>
      <c r="J51" s="78">
        <v>4.0</v>
      </c>
      <c r="K51" s="78">
        <v>5.0</v>
      </c>
      <c r="L51" s="78">
        <v>3.0</v>
      </c>
      <c r="M51" s="78">
        <v>3.0</v>
      </c>
      <c r="N51" s="78">
        <v>2.0</v>
      </c>
      <c r="O51" s="79">
        <f t="shared" si="25"/>
      </c>
      <c r="P51" s="79">
        <f>O51-$D$13</f>
      </c>
    </row>
    <row r="52">
      <c r="A52" s="47"/>
      <c r="B52" s="44" t="s">
        <v>24</v>
      </c>
      <c r="C52" s="48">
        <f t="shared" ref="C52:N52" si="26">$J$13/12</f>
      </c>
      <c r="D52" s="48">
        <f t="shared" si="26"/>
      </c>
      <c r="E52" s="48">
        <f t="shared" si="26"/>
      </c>
      <c r="F52" s="48">
        <f t="shared" si="26"/>
      </c>
      <c r="G52" s="48">
        <f t="shared" si="26"/>
      </c>
      <c r="H52" s="48">
        <f t="shared" si="26"/>
      </c>
      <c r="I52" s="48">
        <f t="shared" si="26"/>
      </c>
      <c r="J52" s="48">
        <f t="shared" si="26"/>
      </c>
      <c r="K52" s="48">
        <f t="shared" si="26"/>
      </c>
      <c r="L52" s="48">
        <f t="shared" si="26"/>
      </c>
      <c r="M52" s="48">
        <f t="shared" si="26"/>
      </c>
      <c r="N52" s="48">
        <f t="shared" si="26"/>
      </c>
      <c r="O52" s="80">
        <f t="shared" si="25"/>
      </c>
      <c r="P52" s="80">
        <f>O52-$J$13</f>
      </c>
    </row>
    <row r="53">
      <c r="A53" s="47"/>
      <c r="B53" s="13" t="s">
        <v>25</v>
      </c>
      <c r="C53" s="50">
        <f t="shared" ref="C53:N53" si="27">$K$13/12</f>
      </c>
      <c r="D53" s="50">
        <f t="shared" si="27"/>
      </c>
      <c r="E53" s="50">
        <f t="shared" si="27"/>
      </c>
      <c r="F53" s="50">
        <f t="shared" si="27"/>
      </c>
      <c r="G53" s="50">
        <f t="shared" si="27"/>
      </c>
      <c r="H53" s="50">
        <f t="shared" si="27"/>
      </c>
      <c r="I53" s="50">
        <f t="shared" si="27"/>
      </c>
      <c r="J53" s="50">
        <f t="shared" si="27"/>
      </c>
      <c r="K53" s="50">
        <f t="shared" si="27"/>
      </c>
      <c r="L53" s="50">
        <f t="shared" si="27"/>
      </c>
      <c r="M53" s="50">
        <f t="shared" si="27"/>
      </c>
      <c r="N53" s="50">
        <f t="shared" si="27"/>
      </c>
      <c r="O53" s="81">
        <f t="shared" si="25"/>
      </c>
      <c r="P53" s="81">
        <f>O53-$K$13</f>
      </c>
    </row>
    <row r="55">
      <c r="A55" s="42" t="s">
        <v>15</v>
      </c>
      <c r="B55" s="6" t="s">
        <v>32</v>
      </c>
      <c r="C55" s="36" t="s">
        <v>48</v>
      </c>
      <c r="D55" s="36" t="s">
        <v>49</v>
      </c>
      <c r="E55" s="36" t="s">
        <v>50</v>
      </c>
      <c r="F55" s="36" t="s">
        <v>51</v>
      </c>
      <c r="G55" s="36" t="s">
        <v>52</v>
      </c>
      <c r="H55" s="36" t="s">
        <v>53</v>
      </c>
      <c r="I55" s="36" t="s">
        <v>54</v>
      </c>
      <c r="J55" s="36" t="s">
        <v>55</v>
      </c>
      <c r="K55" s="36" t="s">
        <v>56</v>
      </c>
      <c r="L55" s="36" t="s">
        <v>57</v>
      </c>
      <c r="M55" s="36" t="s">
        <v>58</v>
      </c>
      <c r="N55" s="36" t="s">
        <v>59</v>
      </c>
      <c r="O55" s="6" t="s">
        <v>60</v>
      </c>
      <c r="P55" s="6" t="s">
        <v>61</v>
      </c>
    </row>
    <row r="56">
      <c r="A56" s="43" t="s">
        <v>32</v>
      </c>
      <c r="B56" s="44" t="s">
        <v>16</v>
      </c>
      <c r="C56" s="78">
        <v>6.0</v>
      </c>
      <c r="D56" s="78">
        <v>5.0</v>
      </c>
      <c r="E56" s="78">
        <v>6.0</v>
      </c>
      <c r="F56" s="78">
        <v>5.0</v>
      </c>
      <c r="G56" s="78">
        <v>6.0</v>
      </c>
      <c r="H56" s="78">
        <v>10.0</v>
      </c>
      <c r="I56" s="78">
        <v>10.0</v>
      </c>
      <c r="J56" s="78">
        <v>8.0</v>
      </c>
      <c r="K56" s="78">
        <v>7.0</v>
      </c>
      <c r="L56" s="78">
        <v>8.0</v>
      </c>
      <c r="M56" s="78">
        <v>10.0</v>
      </c>
      <c r="N56" s="78">
        <v>9.0</v>
      </c>
      <c r="O56" s="79">
        <f t="shared" ref="O56:O59" si="28">SUM(C56:N56)</f>
      </c>
      <c r="P56" s="79">
        <f>O56-$B$14</f>
      </c>
    </row>
    <row r="57">
      <c r="A57" s="47"/>
      <c r="B57" s="44" t="s">
        <v>18</v>
      </c>
      <c r="C57" s="78">
        <v>2.0</v>
      </c>
      <c r="D57" s="78">
        <v>2.0</v>
      </c>
      <c r="E57" s="78">
        <v>2.0</v>
      </c>
      <c r="F57" s="78">
        <v>2.0</v>
      </c>
      <c r="G57" s="78">
        <v>2.0</v>
      </c>
      <c r="H57" s="78">
        <v>4.0</v>
      </c>
      <c r="I57" s="78">
        <v>4.0</v>
      </c>
      <c r="J57" s="78">
        <v>3.0</v>
      </c>
      <c r="K57" s="78">
        <v>3.0</v>
      </c>
      <c r="L57" s="78">
        <v>3.0</v>
      </c>
      <c r="M57" s="78">
        <v>4.0</v>
      </c>
      <c r="N57" s="78">
        <v>3.0</v>
      </c>
      <c r="O57" s="79">
        <f t="shared" si="28"/>
      </c>
      <c r="P57" s="79">
        <f>O57-$D$14</f>
      </c>
    </row>
    <row r="58">
      <c r="A58" s="47"/>
      <c r="B58" s="44" t="s">
        <v>24</v>
      </c>
      <c r="C58" s="48">
        <f t="shared" ref="C58:N58" si="29">$J$14/12</f>
      </c>
      <c r="D58" s="48">
        <f t="shared" si="29"/>
      </c>
      <c r="E58" s="48">
        <f t="shared" si="29"/>
      </c>
      <c r="F58" s="48">
        <f t="shared" si="29"/>
      </c>
      <c r="G58" s="48">
        <f t="shared" si="29"/>
      </c>
      <c r="H58" s="48">
        <f t="shared" si="29"/>
      </c>
      <c r="I58" s="48">
        <f t="shared" si="29"/>
      </c>
      <c r="J58" s="48">
        <f t="shared" si="29"/>
      </c>
      <c r="K58" s="48">
        <f t="shared" si="29"/>
      </c>
      <c r="L58" s="48">
        <f t="shared" si="29"/>
      </c>
      <c r="M58" s="48">
        <f t="shared" si="29"/>
      </c>
      <c r="N58" s="48">
        <f t="shared" si="29"/>
      </c>
      <c r="O58" s="80">
        <f t="shared" si="28"/>
      </c>
      <c r="P58" s="80">
        <f>O58-$J$14</f>
      </c>
    </row>
    <row r="59">
      <c r="A59" s="47"/>
      <c r="B59" s="13" t="s">
        <v>25</v>
      </c>
      <c r="C59" s="50">
        <f t="shared" ref="C59:N59" si="30">$K$14/12</f>
      </c>
      <c r="D59" s="50">
        <f t="shared" si="30"/>
      </c>
      <c r="E59" s="50">
        <f t="shared" si="30"/>
      </c>
      <c r="F59" s="50">
        <f t="shared" si="30"/>
      </c>
      <c r="G59" s="50">
        <f t="shared" si="30"/>
      </c>
      <c r="H59" s="50">
        <f t="shared" si="30"/>
      </c>
      <c r="I59" s="50">
        <f t="shared" si="30"/>
      </c>
      <c r="J59" s="50">
        <f t="shared" si="30"/>
      </c>
      <c r="K59" s="50">
        <f t="shared" si="30"/>
      </c>
      <c r="L59" s="50">
        <f t="shared" si="30"/>
      </c>
      <c r="M59" s="50">
        <f t="shared" si="30"/>
      </c>
      <c r="N59" s="50">
        <f t="shared" si="30"/>
      </c>
      <c r="O59" s="81">
        <f t="shared" si="28"/>
      </c>
      <c r="P59" s="81">
        <f>O59-$K$14</f>
      </c>
    </row>
    <row r="61">
      <c r="A61" s="42" t="s">
        <v>15</v>
      </c>
      <c r="B61" s="6" t="s">
        <v>33</v>
      </c>
      <c r="C61" s="36" t="s">
        <v>48</v>
      </c>
      <c r="D61" s="36" t="s">
        <v>49</v>
      </c>
      <c r="E61" s="36" t="s">
        <v>50</v>
      </c>
      <c r="F61" s="36" t="s">
        <v>51</v>
      </c>
      <c r="G61" s="36" t="s">
        <v>52</v>
      </c>
      <c r="H61" s="36" t="s">
        <v>53</v>
      </c>
      <c r="I61" s="36" t="s">
        <v>54</v>
      </c>
      <c r="J61" s="36" t="s">
        <v>55</v>
      </c>
      <c r="K61" s="36" t="s">
        <v>56</v>
      </c>
      <c r="L61" s="36" t="s">
        <v>57</v>
      </c>
      <c r="M61" s="36" t="s">
        <v>58</v>
      </c>
      <c r="N61" s="36" t="s">
        <v>59</v>
      </c>
      <c r="O61" s="6" t="s">
        <v>60</v>
      </c>
      <c r="P61" s="6" t="s">
        <v>61</v>
      </c>
    </row>
    <row r="62">
      <c r="A62" s="43" t="s">
        <v>33</v>
      </c>
      <c r="B62" s="44" t="s">
        <v>16</v>
      </c>
      <c r="C62" s="78">
        <v>1.0</v>
      </c>
      <c r="D62" s="78">
        <v>1.0</v>
      </c>
      <c r="E62" s="78">
        <v>1.0</v>
      </c>
      <c r="F62" s="78">
        <v>1.0</v>
      </c>
      <c r="G62" s="78">
        <v>1.0</v>
      </c>
      <c r="H62" s="78">
        <v>1.0</v>
      </c>
      <c r="I62" s="78">
        <v>1.0</v>
      </c>
      <c r="J62" s="78">
        <v>1.0</v>
      </c>
      <c r="K62" s="78">
        <v>1.0</v>
      </c>
      <c r="L62" s="78">
        <v>1.0</v>
      </c>
      <c r="M62" s="78">
        <v>1.0</v>
      </c>
      <c r="N62" s="78">
        <v>1.0</v>
      </c>
      <c r="O62" s="79">
        <f t="shared" ref="O62:O65" si="31">SUM(C62:N62)</f>
      </c>
      <c r="P62" s="79">
        <f>O62-$B$15</f>
      </c>
    </row>
    <row r="63">
      <c r="A63" s="47"/>
      <c r="B63" s="44" t="s">
        <v>18</v>
      </c>
      <c r="C63" s="78">
        <v>1.0</v>
      </c>
      <c r="D63" s="78">
        <v>0.0</v>
      </c>
      <c r="E63" s="78">
        <v>1.0</v>
      </c>
      <c r="F63" s="78">
        <v>0.0</v>
      </c>
      <c r="G63" s="78">
        <v>1.0</v>
      </c>
      <c r="H63" s="78">
        <v>0.0</v>
      </c>
      <c r="I63" s="78">
        <v>1.0</v>
      </c>
      <c r="J63" s="78">
        <v>0.0</v>
      </c>
      <c r="K63" s="78">
        <v>1.0</v>
      </c>
      <c r="L63" s="78">
        <v>0.0</v>
      </c>
      <c r="M63" s="78">
        <v>0.0</v>
      </c>
      <c r="N63" s="78">
        <v>0.0</v>
      </c>
      <c r="O63" s="79">
        <f t="shared" si="31"/>
      </c>
      <c r="P63" s="79">
        <f>O63-$D$15</f>
      </c>
    </row>
    <row r="64">
      <c r="A64" s="47"/>
      <c r="B64" s="44" t="s">
        <v>24</v>
      </c>
      <c r="C64" s="48">
        <f t="shared" ref="C64:N64" si="32">$J$15/12</f>
      </c>
      <c r="D64" s="48">
        <f t="shared" si="32"/>
      </c>
      <c r="E64" s="48">
        <f t="shared" si="32"/>
      </c>
      <c r="F64" s="48">
        <f t="shared" si="32"/>
      </c>
      <c r="G64" s="48">
        <f t="shared" si="32"/>
      </c>
      <c r="H64" s="48">
        <f t="shared" si="32"/>
      </c>
      <c r="I64" s="48">
        <f t="shared" si="32"/>
      </c>
      <c r="J64" s="48">
        <f t="shared" si="32"/>
      </c>
      <c r="K64" s="48">
        <f t="shared" si="32"/>
      </c>
      <c r="L64" s="48">
        <f t="shared" si="32"/>
      </c>
      <c r="M64" s="48">
        <f t="shared" si="32"/>
      </c>
      <c r="N64" s="48">
        <f t="shared" si="32"/>
      </c>
      <c r="O64" s="80">
        <f t="shared" si="31"/>
      </c>
      <c r="P64" s="80">
        <f>O64-$J$15</f>
      </c>
    </row>
    <row r="65">
      <c r="A65" s="47"/>
      <c r="B65" s="13" t="s">
        <v>25</v>
      </c>
      <c r="C65" s="50">
        <f t="shared" ref="C65:N65" si="33">$K$15/12</f>
      </c>
      <c r="D65" s="50">
        <f t="shared" si="33"/>
      </c>
      <c r="E65" s="50">
        <f t="shared" si="33"/>
      </c>
      <c r="F65" s="50">
        <f t="shared" si="33"/>
      </c>
      <c r="G65" s="50">
        <f t="shared" si="33"/>
      </c>
      <c r="H65" s="50">
        <f t="shared" si="33"/>
      </c>
      <c r="I65" s="50">
        <f t="shared" si="33"/>
      </c>
      <c r="J65" s="50">
        <f t="shared" si="33"/>
      </c>
      <c r="K65" s="50">
        <f t="shared" si="33"/>
      </c>
      <c r="L65" s="50">
        <f t="shared" si="33"/>
      </c>
      <c r="M65" s="50">
        <f t="shared" si="33"/>
      </c>
      <c r="N65" s="50">
        <f t="shared" si="33"/>
      </c>
      <c r="O65" s="81">
        <f t="shared" si="31"/>
      </c>
      <c r="P65" s="81">
        <f>O65-$K$15</f>
      </c>
    </row>
    <row r="66">
      <c r="B66" s="13"/>
      <c r="C66" s="54"/>
      <c r="D66" s="54"/>
      <c r="E66" s="54"/>
      <c r="F66" s="54"/>
      <c r="G66" s="54"/>
      <c r="H66" s="54"/>
      <c r="I66" s="54"/>
      <c r="J66" s="54"/>
      <c r="K66" s="54"/>
      <c r="L66" s="54"/>
      <c r="M66" s="54"/>
      <c r="N66" s="54"/>
      <c r="O66" s="55"/>
      <c r="P66" s="55"/>
    </row>
    <row r="67">
      <c r="A67" s="42" t="s">
        <v>15</v>
      </c>
      <c r="B67" s="6" t="s">
        <v>34</v>
      </c>
      <c r="C67" s="36" t="s">
        <v>48</v>
      </c>
      <c r="D67" s="36" t="s">
        <v>49</v>
      </c>
      <c r="E67" s="36" t="s">
        <v>50</v>
      </c>
      <c r="F67" s="36" t="s">
        <v>51</v>
      </c>
      <c r="G67" s="36" t="s">
        <v>52</v>
      </c>
      <c r="H67" s="36" t="s">
        <v>53</v>
      </c>
      <c r="I67" s="36" t="s">
        <v>54</v>
      </c>
      <c r="J67" s="36" t="s">
        <v>55</v>
      </c>
      <c r="K67" s="36" t="s">
        <v>56</v>
      </c>
      <c r="L67" s="36" t="s">
        <v>57</v>
      </c>
      <c r="M67" s="36" t="s">
        <v>58</v>
      </c>
      <c r="N67" s="36" t="s">
        <v>59</v>
      </c>
      <c r="O67" s="6" t="s">
        <v>60</v>
      </c>
      <c r="P67" s="6" t="s">
        <v>61</v>
      </c>
    </row>
    <row r="68">
      <c r="A68" s="43" t="s">
        <v>34</v>
      </c>
      <c r="B68" s="44" t="s">
        <v>16</v>
      </c>
      <c r="C68" s="78">
        <v>1.0</v>
      </c>
      <c r="D68" s="78">
        <v>2.0</v>
      </c>
      <c r="E68" s="78">
        <v>1.0</v>
      </c>
      <c r="F68" s="78">
        <v>2.0</v>
      </c>
      <c r="G68" s="78">
        <v>1.0</v>
      </c>
      <c r="H68" s="78">
        <v>2.0</v>
      </c>
      <c r="I68" s="78">
        <v>2.0</v>
      </c>
      <c r="J68" s="78">
        <v>2.0</v>
      </c>
      <c r="K68" s="78">
        <v>2.0</v>
      </c>
      <c r="L68" s="78">
        <v>1.0</v>
      </c>
      <c r="M68" s="78">
        <v>2.0</v>
      </c>
      <c r="N68" s="78">
        <v>2.0</v>
      </c>
      <c r="O68" s="79">
        <f t="shared" ref="O68:O71" si="34">SUM(C68:N68)</f>
      </c>
      <c r="P68" s="79">
        <f>O68-$B$16</f>
      </c>
    </row>
    <row r="69">
      <c r="A69" s="47"/>
      <c r="B69" s="44" t="s">
        <v>18</v>
      </c>
      <c r="C69" s="78">
        <v>0.0</v>
      </c>
      <c r="D69" s="78">
        <v>1.0</v>
      </c>
      <c r="E69" s="78">
        <v>0.0</v>
      </c>
      <c r="F69" s="78">
        <v>1.0</v>
      </c>
      <c r="G69" s="78">
        <v>0.0</v>
      </c>
      <c r="H69" s="78">
        <v>1.0</v>
      </c>
      <c r="I69" s="78">
        <v>1.0</v>
      </c>
      <c r="J69" s="78">
        <v>1.0</v>
      </c>
      <c r="K69" s="78">
        <v>1.0</v>
      </c>
      <c r="L69" s="78">
        <v>0.0</v>
      </c>
      <c r="M69" s="78">
        <v>1.0</v>
      </c>
      <c r="N69" s="78">
        <v>1.0</v>
      </c>
      <c r="O69" s="79">
        <f t="shared" si="34"/>
      </c>
      <c r="P69" s="79">
        <f>O69-$D$16</f>
      </c>
    </row>
    <row r="70">
      <c r="A70" s="47"/>
      <c r="B70" s="44" t="s">
        <v>24</v>
      </c>
      <c r="C70" s="48">
        <f t="shared" ref="C70:N70" si="35">$J$16/12</f>
      </c>
      <c r="D70" s="48">
        <f t="shared" si="35"/>
      </c>
      <c r="E70" s="48">
        <f t="shared" si="35"/>
      </c>
      <c r="F70" s="48">
        <f t="shared" si="35"/>
      </c>
      <c r="G70" s="48">
        <f t="shared" si="35"/>
      </c>
      <c r="H70" s="48">
        <f t="shared" si="35"/>
      </c>
      <c r="I70" s="48">
        <f t="shared" si="35"/>
      </c>
      <c r="J70" s="48">
        <f t="shared" si="35"/>
      </c>
      <c r="K70" s="48">
        <f t="shared" si="35"/>
      </c>
      <c r="L70" s="48">
        <f t="shared" si="35"/>
      </c>
      <c r="M70" s="48">
        <f t="shared" si="35"/>
      </c>
      <c r="N70" s="48">
        <f t="shared" si="35"/>
      </c>
      <c r="O70" s="80">
        <f t="shared" si="34"/>
      </c>
      <c r="P70" s="80">
        <f>O70-$J$16</f>
      </c>
    </row>
    <row r="71">
      <c r="A71" s="47"/>
      <c r="B71" s="13" t="s">
        <v>25</v>
      </c>
      <c r="C71" s="50">
        <f t="shared" ref="C71:N71" si="36">$K$16/12</f>
      </c>
      <c r="D71" s="50">
        <f t="shared" si="36"/>
      </c>
      <c r="E71" s="50">
        <f t="shared" si="36"/>
      </c>
      <c r="F71" s="50">
        <f t="shared" si="36"/>
      </c>
      <c r="G71" s="50">
        <f t="shared" si="36"/>
      </c>
      <c r="H71" s="50">
        <f t="shared" si="36"/>
      </c>
      <c r="I71" s="50">
        <f t="shared" si="36"/>
      </c>
      <c r="J71" s="50">
        <f t="shared" si="36"/>
      </c>
      <c r="K71" s="50">
        <f t="shared" si="36"/>
      </c>
      <c r="L71" s="50">
        <f t="shared" si="36"/>
      </c>
      <c r="M71" s="50">
        <f t="shared" si="36"/>
      </c>
      <c r="N71" s="50">
        <f t="shared" si="36"/>
      </c>
      <c r="O71" s="81">
        <f t="shared" si="34"/>
      </c>
      <c r="P71" s="81">
        <f>O71-$K$16</f>
      </c>
    </row>
  </sheetData>
  <mergeCells count="10">
    <mergeCell ref="A56:A59"/>
    <mergeCell ref="A62:A65"/>
    <mergeCell ref="A68:A71"/>
    <mergeCell ref="A30:B30"/>
    <mergeCell ref="A31:B31"/>
    <mergeCell ref="A32:B32"/>
    <mergeCell ref="A33:B33"/>
    <mergeCell ref="A38:A41"/>
    <mergeCell ref="A44:A47"/>
    <mergeCell ref="A50:A53"/>
  </mergeCells>
  <conditionalFormatting sqref="O11:O17 B24:I24">
    <cfRule type="expression" dxfId="0" priority="1" stopIfTrue="1">
      <formula>OR(O11="直す",O11="上限超え")</formula>
    </cfRule>
  </conditionalFormatting>
  <conditionalFormatting sqref="P31:P33 P38:P41 P44:P47 P50:P53 P56:P59 P62:P65 P68:P71">
    <cfRule type="expression" dxfId="1" priority="2" stopIfTrue="1">
      <formula>AND(P31&lt;&gt;"",ROUND(P31,1)&lt;&gt;0)</formula>
    </cfRule>
  </conditionalFormatting>
  <drawing r:id="rId1"/>
</worksheet>
</file>

<file path=xl/worksheets/sheet_diag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showGridLines="0" workbookViewId="0"/>
  </sheetViews>
  <sheetFormatPr defaultRowHeight="15.75"/>
  <cols>
    <col min="1" max="1" width="18" customWidth="1"/>
    <col min="2" max="10" width="12" customWidth="1"/>
  </cols>
  <sheetData/>
  <pageMargins left="0.5" right="0.5" top="0.6" bottom="0.6" header="0.3" footer="0.3"/>
  <pageSetup paperSize="9" orientation="portrait" fitToWidth="1" fitToHeight="0"/>
</worksheet>
</file>