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_diag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はじめに入力" sheetId="1" r:id="rId5"/>
    <sheet state="visible" name="毎月の実績入力" sheetId="2" r:id="rId6"/>
    <sheet state="visible" name="KPI診断" sheetId="3" r:id="rId7"/>
    <sheet state="visible" name="施策ログ" sheetId="4" r:id="rId8"/>
    <sheet state="visible" name="月次レポート" sheetId="5" r:id="rId9"/>
    <sheet state="visible" name="診断結果" sheetId="6" r:id="rId10"/>
  </sheets>
  <definedNames/>
  <calcPr fullCalcOnLoad="1"/>
</workbook>
</file>

<file path=xl/sharedStrings.xml><?xml version="1.0" encoding="utf-8"?>
<sst xmlns="http://schemas.openxmlformats.org/spreadsheetml/2006/main" count="730" uniqueCount="209">
  <si>
    <t>毎月の実績入力</t>
  </si>
  <si>
    <t>はじめに入力</t>
  </si>
  <si>
    <t>水色＝入力　グレー＝自動計算　単位：万円</t>
  </si>
  <si>
    <t>KPI管理表　施策ログ</t>
  </si>
  <si>
    <t>水色＝入力　単位：時間</t>
  </si>
  <si>
    <t>1. 施策ログの入力</t>
  </si>
  <si>
    <t>登録月</t>
  </si>
  <si>
    <t>【1】年間予算計画を立てる</t>
  </si>
  <si>
    <t>1. 前提の入力</t>
  </si>
  <si>
    <t>※ツール代など</t>
  </si>
  <si>
    <t>1. 実績の合計（自動）</t>
  </si>
  <si>
    <t>狙う指標</t>
  </si>
  <si>
    <t>期首</t>
  </si>
  <si>
    <t>チャネル</t>
  </si>
  <si>
    <t>課題</t>
  </si>
  <si>
    <t>KPI診断</t>
  </si>
  <si>
    <t>マーケ経由の売上目標</t>
  </si>
  <si>
    <t>平均受注単価</t>
  </si>
  <si>
    <t>粗利率</t>
  </si>
  <si>
    <t>回収期間</t>
  </si>
  <si>
    <t>リードタイム</t>
  </si>
  <si>
    <t>1社あたりの月の粗利</t>
  </si>
  <si>
    <t>項目</t>
  </si>
  <si>
    <t>CACの上限</t>
  </si>
  <si>
    <t>打ち手</t>
  </si>
  <si>
    <t>許容CPL</t>
  </si>
  <si>
    <t>共通費</t>
  </si>
  <si>
    <t>実施月</t>
  </si>
  <si>
    <t>根拠</t>
  </si>
  <si>
    <t>1. 年間の結果（期末に確認。商談数・受注数は「毎月の実績入力」の合計を自動で表示）</t>
  </si>
  <si>
    <t>状態</t>
  </si>
  <si>
    <t>見込み時間</t>
  </si>
  <si>
    <t>振り返り</t>
  </si>
  <si>
    <t>（計算用）対象月までの指標と課題（達成率1未満＝課題）</t>
  </si>
  <si>
    <t>リード数</t>
  </si>
  <si>
    <t>4月</t>
  </si>
  <si>
    <t>有効リード率</t>
  </si>
  <si>
    <t>有効リード数</t>
  </si>
  <si>
    <t>商談化率</t>
  </si>
  <si>
    <t>商談数</t>
  </si>
  <si>
    <t>受注率</t>
  </si>
  <si>
    <t>受注数</t>
  </si>
  <si>
    <t>費用</t>
  </si>
  <si>
    <t>CAC</t>
  </si>
  <si>
    <t>達成率</t>
  </si>
  <si>
    <t>判定</t>
  </si>
  <si>
    <t>自社サイト</t>
  </si>
  <si>
    <t>実績の率</t>
  </si>
  <si>
    <t>比較・事例・導入条件のページが足りない</t>
  </si>
  <si>
    <t>年間の目標</t>
  </si>
  <si>
    <t>基本情報・競合との比較・導入事例・導入条件とコスト感のページをそろえ、問い合わせはフォームと電話の両方を用意する</t>
  </si>
  <si>
    <t>5月</t>
  </si>
  <si>
    <t>4月まで：実績5件（計画6件・達成率83%）</t>
  </si>
  <si>
    <t>2. チャネル別の計画（年間）の入力</t>
  </si>
  <si>
    <t>完了</t>
  </si>
  <si>
    <t>受注金額</t>
  </si>
  <si>
    <t>外部費用</t>
  </si>
  <si>
    <t>人件費</t>
  </si>
  <si>
    <t>CPL</t>
  </si>
  <si>
    <t>CPL判定</t>
  </si>
  <si>
    <t>展示会</t>
  </si>
  <si>
    <t>効果あり</t>
  </si>
  <si>
    <t>メール</t>
  </si>
  <si>
    <t>迷惑メールに入り、届いていない</t>
  </si>
  <si>
    <t>送信ドメインにSPF・DKIM・DMARCを設定し、ワンクリックで配信停止できるようにする</t>
  </si>
  <si>
    <t>4月まで：実績1件（計画1件・達成率100%）、CPL 16.9万円（許容6.7万円）</t>
  </si>
  <si>
    <t>Web広告</t>
  </si>
  <si>
    <t>関連性の低い検索語句で広告が出ている</t>
  </si>
  <si>
    <t>検索語句レポートを見て、関連性の低い語句を除外キーワードに入れる</t>
  </si>
  <si>
    <t>年間</t>
  </si>
  <si>
    <t>4月まで：有効リード率33%（計画44%）</t>
  </si>
  <si>
    <t>共通</t>
  </si>
  <si>
    <t>問い合わせへの連絡が遅い</t>
  </si>
  <si>
    <t>問い合わせには1時間以内に連絡する</t>
  </si>
  <si>
    <t>6月</t>
  </si>
  <si>
    <t>5月まで：Web広告 有効リード率31%（計画44%）／自社サイト 有効リード率35%（計画38%）</t>
  </si>
  <si>
    <t>判断できない</t>
  </si>
  <si>
    <t>全体</t>
  </si>
  <si>
    <t>比較している相手・検討の時期がわからないまま営業に渡している</t>
  </si>
  <si>
    <t>フォームで比較している相手と検討の時期を聞く</t>
  </si>
  <si>
    <t>5月まで：商談化率15%（計画40%）</t>
  </si>
  <si>
    <t>ブースの見せ方が来場者の業務課題に合っていない</t>
  </si>
  <si>
    <t>ブースの見出しを業務課題の言葉にし、実物展示・デモを置く。会期前に案内を送る</t>
  </si>
  <si>
    <t>5月まで：展示会の出展前（6月出展）</t>
  </si>
  <si>
    <t>会期後の連絡がブースの会話と無関係になっている</t>
  </si>
  <si>
    <t>全員に、ブースで話した内容を踏まえて連絡する</t>
  </si>
  <si>
    <t>7月</t>
  </si>
  <si>
    <t>セミナー</t>
  </si>
  <si>
    <t>6月まで：有効リード率22%（計画25%）</t>
  </si>
  <si>
    <t>差出人・件名が読まれる形になっていない</t>
  </si>
  <si>
    <t>差出人を担当者名・会社名にし、件名を課題の言葉にする。配信は週1回〜隔週にする</t>
  </si>
  <si>
    <t>6月まで：実績4件（計画6件・達成率67%）</t>
  </si>
  <si>
    <t>効果なし</t>
  </si>
  <si>
    <t>テーマが読者の課題に絞れていない</t>
  </si>
  <si>
    <t>テーマを読者の課題に絞り、内容を作り込む</t>
  </si>
  <si>
    <t>8月</t>
  </si>
  <si>
    <t>7月まで：実績26件（計画27件・達成率96%）</t>
  </si>
  <si>
    <t>年間の実績</t>
  </si>
  <si>
    <t>本文が長く、クリックされない</t>
  </si>
  <si>
    <t>SNS</t>
  </si>
  <si>
    <t>本文をスマホで1スクロール以内に収める</t>
  </si>
  <si>
    <t>7月まで：実績5件（計画7件・達成率71%）</t>
  </si>
  <si>
    <t>広告文・LPが検索意図とずれている</t>
  </si>
  <si>
    <t>広告文を検索意図に合わせ、広告とLPの内容をそろえる</t>
  </si>
  <si>
    <t>7月まで：CPL 7.4万円（許容6.7万円）</t>
  </si>
  <si>
    <t>ダウンロード資料が一般論や自社宣伝で薄い</t>
  </si>
  <si>
    <t>合計</t>
  </si>
  <si>
    <t>資料を実務で使える内容にし、データを新しくする</t>
  </si>
  <si>
    <t>9月</t>
  </si>
  <si>
    <t>8月まで：有効リード率34%（計画38%）</t>
  </si>
  <si>
    <t>資料ダウンロードの直後に電話している</t>
  </si>
  <si>
    <t>資料ダウンロードの直後には電話しない</t>
  </si>
  <si>
    <t>8月まで：Web広告 有効リード率30%（計画44%）／メール 有効リード率30%（計画36%）</t>
  </si>
  <si>
    <t>商談で使う事例・サポートの資料が足りない</t>
  </si>
  <si>
    <t>導入事例とサポート体制の資料をマーケが営業に用意する</t>
  </si>
  <si>
    <t>10月</t>
  </si>
  <si>
    <t>9月まで：受注率20%（計画29%）</t>
  </si>
  <si>
    <t>実施中</t>
  </si>
  <si>
    <t/>
  </si>
  <si>
    <t>接点のあった人が配信リストに入っていない</t>
  </si>
  <si>
    <t>名刺交換・展示会・セミナー・資料DLで接点を持った人を法律に沿ってリストに入れ、フォームに配信の同意欄を置く</t>
  </si>
  <si>
    <t>9月まで：実績8件（計画9件・達成率89%）</t>
  </si>
  <si>
    <t>ブースで売り込みが強く、質問に答えられる人がいない</t>
  </si>
  <si>
    <t>質問に答えられる技術者を立て、導入事例を見せる</t>
  </si>
  <si>
    <t>2月</t>
  </si>
  <si>
    <t>9月まで：実績92件（計画110件・達成率84%）</t>
  </si>
  <si>
    <t>予定</t>
  </si>
  <si>
    <t>11月</t>
  </si>
  <si>
    <t>10月まで：有効リード率29%（計画44%）</t>
  </si>
  <si>
    <t>MAの費用に対してリードが少ない</t>
  </si>
  <si>
    <t>判定＝CPLが許容CPL以下なら「上限内」、超えたら「上限超え」。CPL・CAC・回収期間は外部費用＋人件費で計算する</t>
  </si>
  <si>
    <t>配信を月1回から月2回に増やす</t>
  </si>
  <si>
    <t>2. チャネル別の実績（月別）の入力</t>
  </si>
  <si>
    <t>毎月、水色のセルに実績を入れます。商談数・受注数は、わからない月は空欄、ゼロの月は0を入れます（空欄の月は率を計算しません）。</t>
  </si>
  <si>
    <t>10月まで：CPL 13.2万円（許容6.7万円）</t>
  </si>
  <si>
    <t>達成率・差</t>
  </si>
  <si>
    <t>3. 計画の妥当性の確認：目標</t>
  </si>
  <si>
    <t>4. 計画の妥当性の確認：コスト</t>
  </si>
  <si>
    <t>外部費用・人件費は計画の月額（年額÷12）が入っています。実際の額が違う月は上書きしてください</t>
  </si>
  <si>
    <t>10月まで：商談化率35%（計画40%）</t>
  </si>
  <si>
    <t>中止</t>
  </si>
  <si>
    <t>コスト合計</t>
  </si>
  <si>
    <t>ROI（1年）</t>
  </si>
  <si>
    <t>必要な数（逆算）</t>
  </si>
  <si>
    <t>計画の数</t>
  </si>
  <si>
    <t>-</t>
  </si>
  <si>
    <t>【2】月別予算計画を立てる</t>
  </si>
  <si>
    <t>1.年間計画（月別）の合計</t>
  </si>
  <si>
    <t>※2.チャネル別の計画（月別）の入力の合計が表示されます。</t>
  </si>
  <si>
    <t>計画との差</t>
  </si>
  <si>
    <t>商談数・受注数を「毎月の実績入力」に入れると表示されます（期の途中は参考値）。</t>
  </si>
  <si>
    <t>2. 予実表（対象月まで）</t>
  </si>
  <si>
    <t>受注数の見込み</t>
  </si>
  <si>
    <t>対象月</t>
  </si>
  <si>
    <t>経過月数</t>
  </si>
  <si>
    <t>受注数の見込み＝リードを獲得した月からリードタイムの月数あとに計上する。期首からリードタイム分の月は、前期の同じ月のリードを今期と同じとみなして見込む。期末のリードタイム分の受注は翌期に入る</t>
  </si>
  <si>
    <t>2.チャネル別の計画（月別）の入力</t>
  </si>
  <si>
    <t>対象月を選ぶと、このシートの「2.」「3.」がその月までの数字になります</t>
  </si>
  <si>
    <t>※外部費用と人件費は年額÷12が自動で入ります。月ごとに違う場合は上書きしてください。</t>
  </si>
  <si>
    <t>計画</t>
  </si>
  <si>
    <t>実績</t>
  </si>
  <si>
    <t>判定＝達成率が100%以上なら「達成」、90〜99%なら「やや届かない」、90%未満なら「届かない」。率は差（ポイント）を表示</t>
  </si>
  <si>
    <t>3. チャネル別予実表（対象月まで）</t>
  </si>
  <si>
    <t>撤退の判断</t>
  </si>
  <si>
    <t>単位：件</t>
  </si>
  <si>
    <t>（計算用）</t>
  </si>
  <si>
    <t>（計算用）チャネル</t>
  </si>
  <si>
    <t>1. 結論</t>
  </si>
  <si>
    <t>［実績］期首からの受注</t>
  </si>
  <si>
    <t>年間目標</t>
  </si>
  <si>
    <t>累計の商談数</t>
  </si>
  <si>
    <t>［見込み］期末の着地見込み</t>
  </si>
  <si>
    <t>計画比</t>
  </si>
  <si>
    <t>不足</t>
  </si>
  <si>
    <t>累計の受注数</t>
  </si>
  <si>
    <t>受注済み</t>
  </si>
  <si>
    <t>進行中の商談</t>
  </si>
  <si>
    <t>進行中×受注率</t>
  </si>
  <si>
    <t>期内に受注できる新規分</t>
  </si>
  <si>
    <t>2. KPI</t>
  </si>
  <si>
    <t>着地見込み</t>
  </si>
  <si>
    <t>新規リード</t>
  </si>
  <si>
    <t>有効リード</t>
  </si>
  <si>
    <t>新規商談</t>
  </si>
  <si>
    <t>受注</t>
  </si>
  <si>
    <t>計画まで</t>
  </si>
  <si>
    <t>期限の月（番号）</t>
  </si>
  <si>
    <t>期限の月</t>
  </si>
  <si>
    <t>必要な商談</t>
  </si>
  <si>
    <t>必要なリード</t>
  </si>
  <si>
    <t>段階</t>
  </si>
  <si>
    <t>前月（番号）</t>
  </si>
  <si>
    <t>来月</t>
  </si>
  <si>
    <t>月</t>
  </si>
  <si>
    <t>実績の累計</t>
  </si>
  <si>
    <t>（計算用）課題の上位3つ</t>
  </si>
  <si>
    <t>開始月＝「はじめに入力」でそのチャネルの計画のリード数を最初に入れた月。リード数・有効リード数・費用は開始月から対象月までの累計、費用＝外部費用＋人件費、達成率＝実績÷計画。商談数・受注数は期首から対象月までの実績（チャネル別の計画はないため実績のみ）。判定＝累計のCPLが許容CPL以下なら「上限内」、超えたら「上限超え」。撤退の判断＝開始月＋6か月から、「上限超え」かつリード数の達成率が90%未満なら「撤退を検討」。外部費用を入れていないチャネルは判定しない</t>
  </si>
  <si>
    <t>4. 課題と打ち手の選定</t>
  </si>
  <si>
    <t>「5.打ち手の候補一覧」で選定月を選んだ打ち手と、施策ログに対象月で登録した打ち手が出ます。</t>
  </si>
  <si>
    <t>指標</t>
  </si>
  <si>
    <t>（計算用）4.の表示</t>
  </si>
  <si>
    <t>5.打ち手の候補一覧</t>
  </si>
  <si>
    <t>使う打ち手の「選定月」と「実施月」を選びます。足りない打ち手は空いている行に追加。根拠＝対象月の課題に合う打ち手に表示、登録済み＝施策ログに対象月で登録があれば ✓</t>
  </si>
  <si>
    <t>選定月</t>
  </si>
  <si>
    <t>根拠（対象月の課題）</t>
  </si>
  <si>
    <t>登録済み</t>
  </si>
  <si>
    <t>情報収集の来場者と商談目的の来場者を分けていない</t>
  </si>
  <si>
    <t>名刺ごとに来場目的（情報収集か商談か）を記録して分ける</t>
  </si>
  <si>
    <t>4. 課題と打ち手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</si>
</sst>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/d"/>
    <numFmt numFmtId="165" formatCode="0.0"/>
    <numFmt numFmtId="166" formatCode="#,##0.0"/>
    <numFmt numFmtId="167" formatCode="+0.0&quot;pt&quot;;-0.0&quot;pt&quot;"/>
    <numFmt numFmtId="168" formatCode="+#,##0;-#,##0"/>
    <numFmt numFmtId="169" formatCode="+0.0;-0.0"/>
    <numFmt numFmtId="170" formatCode="0&quot;件&quot;"/>
    <numFmt numFmtId="171" formatCode="0.0%"/>
    <numFmt numFmtId="200" formatCode="#,##0.0"/>
  </numFmts>
  <fonts count="3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9.0"/>
      <color rgb="FF666666"/>
      <name val="Calibri"/>
      <scheme val="minor"/>
    </font>
    <font>
      <color rgb="FF585858"/>
      <name val="Calibri"/>
      <scheme val="minor"/>
    </font>
    <font>
      <b/>
      <color theme="1"/>
      <name val="Calibri"/>
      <scheme val="minor"/>
    </font>
    <font>
      <sz val="8.0"/>
      <color theme="1"/>
      <name val="Calibri"/>
      <scheme val="minor"/>
    </font>
    <font>
      <b/>
      <color rgb="FFFFFFFF"/>
      <name val="Calibri"/>
      <scheme val="minor"/>
    </font>
    <font/>
    <font>
      <color theme="1"/>
      <name val="Calibri"/>
      <scheme val="minor"/>
    </font>
    <font>
      <b/>
      <sz val="12.0"/>
      <color theme="1"/>
      <name val="Calibri"/>
      <scheme val="minor"/>
    </font>
    <font>
      <sz val="8.0"/>
      <color rgb="FF585858"/>
      <name val="Calibri"/>
      <scheme val="minor"/>
    </font>
    <font>
      <sz val="8.0"/>
      <color rgb="FF666666"/>
      <name val="Calibri"/>
      <scheme val="minor"/>
    </font>
    <font>
      <color theme="1"/>
      <name val="Arial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b/>
      <sz val="11.0"/>
      <color theme="1"/>
      <name val="Calibri"/>
      <scheme val="minor"/>
    </font>
    <font>
      <sz val="9.0"/>
      <color rgb="FFB7B7B7"/>
      <name val="Calibri"/>
      <scheme val="minor"/>
    </font>
    <font>
      <b/>
      <sz val="18.0"/>
      <color rgb="FFFFFFFF"/>
      <name val="Calibri"/>
      <scheme val="minor"/>
    </font>
    <font>
      <b/>
      <sz val="9.0"/>
      <color rgb="FFFFFFFF"/>
      <name val="Calibri"/>
      <scheme val="minor"/>
    </font>
    <font>
      <b/>
      <sz val="18.0"/>
      <color rgb="FFFF897F"/>
      <name val="Calibri"/>
      <scheme val="minor"/>
    </font>
    <font>
      <b/>
      <sz val="16.0"/>
      <color theme="1"/>
      <name val="Calibri"/>
      <scheme val="minor"/>
    </font>
    <font>
      <sz val="9.0"/>
      <color rgb="FF000000"/>
      <name val="Calibri"/>
      <scheme val="minor"/>
    </font>
    <font>
      <sz val="6.0"/>
      <color rgb="FF666666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  <font>
      <b/>
      <sz val="10.0"/>
      <color rgb="FFFFFFFF"/>
      <name val="Calibri"/>
      <scheme val="minor"/>
    </font>
    <font>
      <b/>
      <sz val="14"/>
      <color rgb="FF0B0B12"/>
      <name val="Calibri"/>
    </font>
    <font>
      <b/>
      <sz val="11"/>
      <color rgb="FF0B0B12"/>
      <name val="Calibri"/>
    </font>
    <font>
      <sz val="10"/>
      <color rgb="FF0B0B12"/>
      <name val="Calibri"/>
    </font>
    <font>
      <b/>
      <sz val="10"/>
      <color rgb="FFFFFFFF"/>
      <name val="Calibri"/>
    </font>
    <font>
      <b/>
      <sz val="10"/>
      <color rgb="FFC81E1E"/>
      <name val="Calibri"/>
    </font>
    <font>
      <b/>
      <sz val="10"/>
      <color rgb="FFC2560C"/>
      <name val="Calibri"/>
    </font>
    <font>
      <sz val="9"/>
      <color rgb="FF74757C"/>
      <name val="Calibri"/>
    </font>
    <font>
      <b/>
      <sz val="10"/>
      <color rgb="FF0B0B12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1F3"/>
        <bgColor rgb="FFCFE1F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91919"/>
        <bgColor rgb="FF191919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BE3E3"/>
        <bgColor rgb="FFFBE3E3"/>
      </patternFill>
    </fill>
    <fill>
      <patternFill patternType="solid">
        <fgColor rgb="FFFDECD9"/>
        <bgColor rgb="FFFDECD9"/>
      </patternFill>
    </fill>
    <fill>
      <patternFill patternType="solid">
        <fgColor rgb="FF000000"/>
        <bgColor rgb="FF000000"/>
      </patternFill>
    </fill>
  </fills>
  <borders count="2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ck">
        <color rgb="FFFFFFFF"/>
      </left>
    </border>
    <border>
      <right style="thick">
        <color rgb="FFFFFFFF"/>
      </right>
    </border>
    <border>
      <top style="thin">
        <color rgb="FFCCCCCC"/>
      </top>
      <bottom style="thin">
        <color rgb="FFCCCCCC"/>
      </bottom>
    </border>
    <border>
      <left style="thin">
        <color rgb="FFDEDEE2"/>
      </left>
      <right style="thin">
        <color rgb="FFDEDEE2"/>
      </right>
      <top style="thin">
        <color rgb="FFDEDEE2"/>
      </top>
      <bottom style="thin">
        <color rgb="FFDEDEE2"/>
      </bottom>
      <diagonal/>
    </border>
    <border>
      <left/>
      <right/>
      <top/>
      <bottom style="medium">
        <color rgb="FF0B0B12"/>
      </bottom>
      <diagonal/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1" fillId="2" fontId="6" numFmtId="0" xfId="0" applyAlignment="1" applyBorder="1" applyFill="1" applyFont="1">
      <alignment horizontal="left" readingOrder="0"/>
    </xf>
    <xf borderId="0" fillId="0" fontId="5" numFmtId="0" xfId="0" applyAlignment="1" applyFont="1">
      <alignment readingOrder="0"/>
    </xf>
    <xf borderId="2" fillId="2" fontId="6" numFmtId="0" xfId="0" applyAlignment="1" applyBorder="1" applyFill="1" applyFont="1">
      <alignment horizontal="center" readingOrder="0" shrinkToFit="0" wrapText="1"/>
    </xf>
    <xf borderId="1" fillId="2" fontId="6" numFmtId="0" xfId="0" applyBorder="1" applyFill="1" applyFont="1"/>
    <xf borderId="3" fillId="2" fontId="6" numFmtId="0" xfId="0" applyAlignment="1" applyBorder="1" applyFill="1" applyFont="1">
      <alignment horizontal="left" readingOrder="0"/>
    </xf>
    <xf borderId="4" fillId="0" fontId="7" numFmtId="0" xfId="0" applyBorder="1" applyFont="1"/>
    <xf borderId="5" fillId="0" fontId="7" numFmtId="0" xfId="0" applyBorder="1" applyFont="1"/>
    <xf borderId="1" fillId="2" fontId="6" numFmtId="0" xfId="0" applyAlignment="1" applyBorder="1" applyFill="1" applyFont="1">
      <alignment readingOrder="0"/>
    </xf>
    <xf borderId="2" fillId="2" fontId="6" numFmtId="0" xfId="0" applyAlignment="1" applyBorder="1" applyFill="1" applyFont="1">
      <alignment horizontal="center" readingOrder="0"/>
    </xf>
    <xf borderId="2" fillId="3" fontId="8" numFmtId="164" xfId="0" applyAlignment="1" applyBorder="1" applyFill="1" applyFont="1" applyNumberFormat="1">
      <alignment horizontal="center" readingOrder="0"/>
    </xf>
    <xf borderId="0" fillId="0" fontId="9" numFmtId="0" xfId="0" applyAlignment="1" applyFont="1">
      <alignment readingOrder="0"/>
    </xf>
    <xf borderId="2" fillId="3" fontId="8" numFmtId="3" xfId="0" applyAlignment="1" applyBorder="1" applyFill="1" applyFont="1" applyNumberFormat="1">
      <alignment readingOrder="0"/>
    </xf>
    <xf borderId="2" fillId="3" fontId="8" numFmtId="9" xfId="0" applyAlignment="1" applyBorder="1" applyFill="1" applyFont="1" applyNumberFormat="1">
      <alignment readingOrder="0"/>
    </xf>
    <xf borderId="2" fillId="3" fontId="8" numFmtId="165" xfId="0" applyAlignment="1" applyBorder="1" applyFill="1" applyFont="1" applyNumberFormat="1">
      <alignment readingOrder="0"/>
    </xf>
    <xf borderId="2" fillId="3" fontId="8" numFmtId="1" xfId="0" applyAlignment="1" applyBorder="1" applyFill="1" applyFont="1" applyNumberFormat="1">
      <alignment readingOrder="0"/>
    </xf>
    <xf borderId="1" fillId="2" fontId="6" numFmtId="0" xfId="0" applyAlignment="1" applyBorder="1" applyFill="1" applyFont="1">
      <alignment horizontal="right"/>
    </xf>
    <xf borderId="1" fillId="2" fontId="6" numFmtId="0" xfId="0" applyAlignment="1" applyBorder="1" applyFill="1" applyFont="1">
      <alignment horizontal="right" readingOrder="0"/>
    </xf>
    <xf borderId="1" fillId="3" fontId="8" numFmtId="0" xfId="0" applyAlignment="1" applyBorder="1" applyFill="1" applyFont="1">
      <alignment readingOrder="0" vertical="top"/>
    </xf>
    <xf borderId="1" fillId="2" fontId="6" numFmtId="0" xfId="0" applyAlignment="1" applyBorder="1" applyFill="1" applyFont="1">
      <alignment horizontal="right" readingOrder="0" vertical="center"/>
    </xf>
    <xf borderId="2" fillId="4" fontId="8" numFmtId="166" xfId="0" applyBorder="1" applyFill="1" applyFont="1" applyNumberFormat="1"/>
    <xf borderId="0" fillId="0" fontId="8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3" fillId="3" fontId="8" numFmtId="0" xfId="0" applyAlignment="1" applyBorder="1" applyFill="1" applyFont="1">
      <alignment readingOrder="0" shrinkToFit="0" vertical="top" wrapText="1"/>
    </xf>
    <xf borderId="0" fillId="0" fontId="8" numFmtId="0" xfId="0" applyAlignment="1" applyFont="1">
      <alignment readingOrder="0"/>
    </xf>
    <xf borderId="1" fillId="3" fontId="8" numFmtId="0" xfId="0" applyAlignment="1" applyBorder="1" applyFill="1" applyFont="1">
      <alignment readingOrder="0" shrinkToFit="0" vertical="top" wrapText="1"/>
    </xf>
    <xf borderId="1" fillId="4" fontId="8" numFmtId="3" xfId="0" applyAlignment="1" applyBorder="1" applyFill="1" applyFont="1" applyNumberFormat="1">
      <alignment horizontal="right"/>
    </xf>
    <xf borderId="1" fillId="3" fontId="8" numFmtId="3" xfId="0" applyAlignment="1" applyBorder="1" applyFill="1" applyFont="1" applyNumberFormat="1">
      <alignment horizontal="right" readingOrder="0" vertical="top"/>
    </xf>
    <xf borderId="1" fillId="4" fontId="8" numFmtId="9" xfId="0" applyAlignment="1" applyBorder="1" applyFill="1" applyFont="1" applyNumberFormat="1">
      <alignment horizontal="right"/>
    </xf>
    <xf borderId="2" fillId="0" fontId="8" numFmtId="0" xfId="0" applyAlignment="1" applyBorder="1" applyFont="1">
      <alignment readingOrder="0"/>
    </xf>
    <xf borderId="2" fillId="4" fontId="8" numFmtId="9" xfId="0" applyAlignment="1" applyBorder="1" applyFill="1" applyFont="1" applyNumberFormat="1">
      <alignment readingOrder="0"/>
    </xf>
    <xf borderId="1" fillId="0" fontId="8" numFmtId="0" xfId="0" applyBorder="1" applyFont="1"/>
    <xf borderId="1" fillId="3" fontId="8" numFmtId="0" xfId="0" applyAlignment="1" applyBorder="1" applyFill="1" applyFont="1">
      <alignment readingOrder="0" vertical="top"/>
    </xf>
    <xf borderId="1" fillId="0" fontId="4" numFmtId="0" xfId="0" applyAlignment="1" applyBorder="1" applyFont="1">
      <alignment readingOrder="0"/>
    </xf>
    <xf borderId="2" fillId="4" fontId="8" numFmtId="3" xfId="0" applyBorder="1" applyFill="1" applyFont="1" applyNumberFormat="1"/>
    <xf borderId="1" fillId="4" fontId="8" numFmtId="165" xfId="0" applyAlignment="1" applyBorder="1" applyFill="1" applyFont="1" applyNumberFormat="1">
      <alignment horizontal="right"/>
    </xf>
    <xf borderId="1" fillId="4" fontId="8" numFmtId="3" xfId="0" applyAlignment="1" applyBorder="1" applyFill="1" applyFont="1" applyNumberFormat="1">
      <alignment horizontal="left" readingOrder="0"/>
    </xf>
    <xf borderId="2" fillId="4" fontId="8" numFmtId="165" xfId="0" applyBorder="1" applyFill="1" applyFont="1" applyNumberFormat="1"/>
    <xf borderId="1" fillId="4" fontId="8" numFmtId="9" xfId="0" applyAlignment="1" applyBorder="1" applyFill="1" applyFont="1" applyNumberFormat="1">
      <alignment horizontal="left"/>
    </xf>
    <xf borderId="2" fillId="4" fontId="8" numFmtId="0" xfId="0" applyAlignment="1" applyBorder="1" applyFill="1" applyFont="1">
      <alignment horizontal="center"/>
    </xf>
    <xf borderId="1" fillId="3" fontId="8" numFmtId="0" xfId="0" applyAlignment="1" applyBorder="1" applyFill="1" applyFont="1">
      <alignment readingOrder="0" shrinkToFit="0" vertical="top" wrapText="1"/>
    </xf>
    <xf borderId="1" fillId="4" fontId="8" numFmtId="3" xfId="0" applyAlignment="1" applyBorder="1" applyFill="1" applyFont="1" applyNumberFormat="1">
      <alignment horizontal="left"/>
    </xf>
    <xf borderId="2" fillId="0" fontId="4" numFmtId="0" xfId="0" applyAlignment="1" applyBorder="1" applyFont="1">
      <alignment readingOrder="0"/>
    </xf>
    <xf borderId="1" fillId="4" fontId="8" numFmtId="166" xfId="0" applyAlignment="1" applyBorder="1" applyFill="1" applyFont="1" applyNumberFormat="1">
      <alignment horizontal="right"/>
    </xf>
    <xf borderId="1" fillId="4" fontId="8" numFmtId="3" xfId="0" applyAlignment="1" applyBorder="1" applyFill="1" applyFont="1" applyNumberFormat="1">
      <alignment horizontal="right" readingOrder="0"/>
    </xf>
    <xf borderId="2" fillId="4" fontId="4" numFmtId="3" xfId="0" applyBorder="1" applyFill="1" applyFont="1" applyNumberFormat="1"/>
    <xf borderId="2" fillId="4" fontId="4" numFmtId="9" xfId="0" applyBorder="1" applyFill="1" applyFont="1" applyNumberFormat="1"/>
    <xf borderId="2" fillId="4" fontId="4" numFmtId="166" xfId="0" applyBorder="1" applyFill="1" applyFont="1" applyNumberFormat="1"/>
    <xf borderId="2" fillId="4" fontId="4" numFmtId="165" xfId="0" applyBorder="1" applyFill="1" applyFont="1" applyNumberFormat="1"/>
    <xf borderId="2" fillId="4" fontId="4" numFmtId="0" xfId="0" applyAlignment="1" applyBorder="1" applyFill="1" applyFont="1">
      <alignment horizontal="center"/>
    </xf>
    <xf borderId="0" fillId="0" fontId="10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1" numFmtId="0" xfId="0" applyAlignment="1" applyFont="1">
      <alignment readingOrder="0"/>
    </xf>
    <xf borderId="2" fillId="2" fontId="6" numFmtId="0" xfId="0" applyAlignment="1" applyBorder="1" applyFill="1" applyFont="1">
      <alignment horizontal="center"/>
    </xf>
    <xf borderId="1" fillId="3" fontId="8" numFmtId="0" xfId="0" applyAlignment="1" applyBorder="1" applyFill="1" applyFont="1">
      <alignment vertical="top"/>
    </xf>
    <xf borderId="1" fillId="3" fontId="8" numFmtId="0" xfId="0" applyAlignment="1" applyBorder="1" applyFill="1" applyFont="1">
      <alignment shrinkToFit="0" vertical="top" wrapText="1"/>
    </xf>
    <xf borderId="1" fillId="3" fontId="8" numFmtId="3" xfId="0" applyAlignment="1" applyBorder="1" applyFill="1" applyFont="1" applyNumberFormat="1">
      <alignment horizontal="right" vertical="top"/>
    </xf>
    <xf borderId="1" fillId="4" fontId="8" numFmtId="167" xfId="0" applyAlignment="1" applyBorder="1" applyFill="1" applyFont="1" applyNumberFormat="1">
      <alignment horizontal="right"/>
    </xf>
    <xf borderId="6" fillId="0" fontId="8" numFmtId="0" xfId="0" applyAlignment="1" applyBorder="1" applyFont="1">
      <alignment horizontal="center" readingOrder="0" vertical="center"/>
    </xf>
    <xf borderId="2" fillId="4" fontId="8" numFmtId="9" xfId="0" applyBorder="1" applyFill="1" applyFont="1" applyNumberFormat="1"/>
    <xf borderId="1" fillId="3" fontId="8" numFmtId="3" xfId="0" applyAlignment="1" applyBorder="1" applyFill="1" applyFont="1" applyNumberFormat="1">
      <alignment horizontal="right" readingOrder="0"/>
    </xf>
    <xf borderId="1" fillId="3" fontId="8" numFmtId="3" xfId="0" applyAlignment="1" applyBorder="1" applyFill="1" applyFont="1" applyNumberFormat="1">
      <alignment horizontal="right"/>
    </xf>
    <xf borderId="7" fillId="0" fontId="7" numFmtId="0" xfId="0" applyBorder="1" applyFont="1"/>
    <xf borderId="1" fillId="3" fontId="8" numFmtId="166" xfId="0" applyAlignment="1" applyBorder="1" applyFill="1" applyFont="1" applyNumberFormat="1">
      <alignment horizontal="right"/>
    </xf>
    <xf borderId="1" fillId="4" fontId="8" numFmtId="168" xfId="0" applyAlignment="1" applyBorder="1" applyFill="1" applyFont="1" applyNumberFormat="1">
      <alignment horizontal="right"/>
    </xf>
    <xf borderId="1" fillId="4" fontId="8" numFmtId="169" xfId="0" applyAlignment="1" applyBorder="1" applyFill="1" applyFont="1" applyNumberFormat="1">
      <alignment horizontal="right"/>
    </xf>
    <xf borderId="8" fillId="4" fontId="8" numFmtId="9" xfId="0" applyBorder="1" applyFill="1" applyFont="1" applyNumberFormat="1"/>
    <xf borderId="8" fillId="4" fontId="8" numFmtId="3" xfId="0" applyBorder="1" applyFill="1" applyFont="1" applyNumberFormat="1"/>
    <xf borderId="9" fillId="0" fontId="7" numFmtId="0" xfId="0" applyBorder="1" applyFont="1"/>
    <xf borderId="1" fillId="4" fontId="8" numFmtId="0" xfId="0" applyAlignment="1" applyBorder="1" applyFill="1" applyFont="1">
      <alignment horizontal="right"/>
    </xf>
    <xf borderId="10" fillId="4" fontId="8" numFmtId="0" xfId="0" applyAlignment="1" applyBorder="1" applyFill="1" applyFont="1">
      <alignment horizontal="center"/>
    </xf>
    <xf borderId="11" fillId="0" fontId="8" numFmtId="0" xfId="0" applyAlignment="1" applyBorder="1" applyFont="1">
      <alignment horizontal="right" readingOrder="0"/>
    </xf>
    <xf borderId="11" fillId="4" fontId="8" numFmtId="0" xfId="0" applyAlignment="1" applyBorder="1" applyFill="1" applyFont="1">
      <alignment horizontal="center"/>
    </xf>
    <xf borderId="12" fillId="2" fontId="6" numFmtId="0" xfId="0" applyAlignment="1" applyBorder="1" applyFill="1" applyFont="1">
      <alignment horizontal="center" readingOrder="0"/>
    </xf>
    <xf borderId="13" fillId="0" fontId="7" numFmtId="0" xfId="0" applyBorder="1" applyFont="1"/>
    <xf borderId="14" fillId="0" fontId="4" numFmtId="0" xfId="0" applyAlignment="1" applyBorder="1" applyFont="1">
      <alignment readingOrder="0"/>
    </xf>
    <xf borderId="15" fillId="0" fontId="7" numFmtId="0" xfId="0" applyBorder="1" applyFont="1"/>
    <xf borderId="16" fillId="4" fontId="4" numFmtId="3" xfId="0" applyBorder="1" applyFill="1" applyFont="1" applyNumberFormat="1"/>
    <xf borderId="14" fillId="0" fontId="8" numFmtId="0" xfId="0" applyBorder="1" applyFont="1"/>
    <xf borderId="0" fillId="0" fontId="8" numFmtId="0" xfId="0" applyFont="1"/>
    <xf borderId="16" fillId="4" fontId="8" numFmtId="165" xfId="0" applyBorder="1" applyFill="1" applyFont="1" applyNumberFormat="1"/>
    <xf borderId="0" fillId="3" fontId="1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right" readingOrder="0"/>
    </xf>
    <xf borderId="0" fillId="4" fontId="8" numFmtId="1" xfId="0" applyAlignment="1" applyFill="1" applyFont="1" applyNumberFormat="1">
      <alignment horizontal="right"/>
    </xf>
    <xf borderId="8" fillId="2" fontId="6" numFmtId="0" xfId="0" applyAlignment="1" applyBorder="1" applyFill="1" applyFont="1">
      <alignment horizontal="center" readingOrder="0" shrinkToFit="0" wrapText="1"/>
    </xf>
    <xf borderId="17" fillId="0" fontId="8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readingOrder="0"/>
    </xf>
    <xf borderId="2" fillId="3" fontId="8" numFmtId="3" xfId="0" applyAlignment="1" applyBorder="1" applyFill="1" applyFont="1" applyNumberFormat="1">
      <alignment horizontal="right" readingOrder="0"/>
    </xf>
    <xf borderId="2" fillId="4" fontId="8" numFmtId="3" xfId="0" applyAlignment="1" applyBorder="1" applyFill="1" applyFont="1" applyNumberFormat="1">
      <alignment horizontal="right"/>
    </xf>
    <xf borderId="0" fillId="0" fontId="8" numFmtId="0" xfId="0" applyAlignment="1" applyFont="1">
      <alignment shrinkToFit="0" wrapText="1"/>
    </xf>
    <xf borderId="18" fillId="0" fontId="7" numFmtId="0" xfId="0" applyBorder="1" applyFont="1"/>
    <xf borderId="2" fillId="3" fontId="8" numFmtId="166" xfId="0" applyAlignment="1" applyBorder="1" applyFill="1" applyFont="1" applyNumberFormat="1">
      <alignment horizontal="right" readingOrder="0"/>
    </xf>
    <xf borderId="2" fillId="4" fontId="8" numFmtId="166" xfId="0" applyAlignment="1" applyBorder="1" applyFill="1" applyFont="1" applyNumberFormat="1">
      <alignment horizontal="right"/>
    </xf>
    <xf borderId="0" fillId="3" fontId="8" numFmtId="166" xfId="0" applyAlignment="1" applyFill="1" applyFont="1" applyNumberFormat="1">
      <alignment horizontal="right" readingOrder="0"/>
    </xf>
    <xf borderId="0" fillId="4" fontId="8" numFmtId="166" xfId="0" applyAlignment="1" applyFill="1" applyFont="1" applyNumberFormat="1">
      <alignment horizontal="right"/>
    </xf>
    <xf borderId="1" fillId="4" fontId="8" numFmtId="0" xfId="0" applyAlignment="1" applyBorder="1" applyFill="1" applyFont="1">
      <alignment horizontal="right" readingOrder="0"/>
    </xf>
    <xf borderId="0" fillId="5" fontId="4" numFmtId="0" xfId="0" applyAlignment="1" applyFill="1" applyFont="1">
      <alignment horizontal="right" readingOrder="0"/>
    </xf>
    <xf borderId="0" fillId="0" fontId="8" numFmtId="3" xfId="0" applyAlignment="1" applyFont="1" applyNumberFormat="1">
      <alignment readingOrder="0"/>
    </xf>
    <xf borderId="0" fillId="0" fontId="8" numFmtId="3" xfId="0" applyFont="1" applyNumberFormat="1"/>
    <xf borderId="0" fillId="4" fontId="8" numFmtId="165" xfId="0" applyAlignment="1" applyFill="1" applyFont="1" applyNumberFormat="1">
      <alignment horizontal="right"/>
    </xf>
    <xf borderId="6" fillId="2" fontId="6" numFmtId="0" xfId="0" applyAlignment="1" applyBorder="1" applyFill="1" applyFont="1">
      <alignment readingOrder="0" vertical="center"/>
    </xf>
    <xf borderId="3" fillId="2" fontId="6" numFmtId="0" xfId="0" applyAlignment="1" applyBorder="1" applyFill="1" applyFont="1">
      <alignment horizontal="center" readingOrder="0" vertical="center"/>
    </xf>
    <xf borderId="6" fillId="2" fontId="6" numFmtId="0" xfId="0" applyAlignment="1" applyBorder="1" applyFill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right" vertical="center"/>
    </xf>
    <xf borderId="0" fillId="0" fontId="14" numFmtId="0" xfId="0" applyAlignment="1" applyFont="1">
      <alignment vertical="center"/>
    </xf>
    <xf borderId="0" fillId="0" fontId="8" numFmtId="9" xfId="0" applyFont="1" applyNumberFormat="1"/>
    <xf borderId="0" fillId="0" fontId="9" numFmtId="0" xfId="0" applyAlignment="1" applyFont="1">
      <alignment readingOrder="0" vertical="center"/>
    </xf>
    <xf borderId="0" fillId="0" fontId="15" numFmtId="0" xfId="0" applyAlignment="1" applyFont="1">
      <alignment vertical="center"/>
    </xf>
    <xf borderId="0" fillId="6" fontId="16" numFmtId="0" xfId="0" applyAlignment="1" applyFill="1" applyFont="1">
      <alignment horizontal="left" readingOrder="0" vertical="center"/>
    </xf>
    <xf borderId="0" fillId="0" fontId="8" numFmtId="1" xfId="0" applyFont="1" applyNumberFormat="1"/>
    <xf borderId="0" fillId="6" fontId="17" numFmtId="170" xfId="0" applyAlignment="1" applyFill="1" applyFont="1" applyNumberFormat="1">
      <alignment horizontal="left" vertical="center"/>
    </xf>
    <xf borderId="0" fillId="6" fontId="17" numFmtId="9" xfId="0" applyAlignment="1" applyFill="1" applyFont="1" applyNumberFormat="1">
      <alignment horizontal="left" vertical="center"/>
    </xf>
    <xf borderId="0" fillId="6" fontId="18" numFmtId="0" xfId="0" applyAlignment="1" applyFill="1" applyFont="1">
      <alignment horizontal="center" vertical="center"/>
    </xf>
    <xf borderId="0" fillId="6" fontId="19" numFmtId="170" xfId="0" applyAlignment="1" applyFill="1" applyFont="1" applyNumberFormat="1">
      <alignment horizontal="left" vertical="center"/>
    </xf>
    <xf borderId="0" fillId="6" fontId="16" numFmtId="0" xfId="0" applyAlignment="1" applyFill="1" applyFont="1">
      <alignment horizontal="left" vertical="center"/>
    </xf>
    <xf borderId="0" fillId="0" fontId="2" numFmtId="0" xfId="0" applyAlignment="1" applyFont="1">
      <alignment vertical="center"/>
    </xf>
    <xf borderId="19" fillId="7" fontId="2" numFmtId="0" xfId="0" applyAlignment="1" applyBorder="1" applyFill="1" applyFont="1">
      <alignment readingOrder="0" vertical="center"/>
    </xf>
    <xf borderId="20" fillId="0" fontId="7" numFmtId="0" xfId="0" applyBorder="1" applyFont="1"/>
    <xf borderId="19" fillId="7" fontId="20" numFmtId="170" xfId="0" applyAlignment="1" applyBorder="1" applyFill="1" applyFont="1" applyNumberFormat="1">
      <alignment horizontal="left" vertical="center"/>
    </xf>
    <xf borderId="19" fillId="7" fontId="2" numFmtId="0" xfId="0" applyAlignment="1" applyBorder="1" applyFill="1" applyFont="1">
      <alignment vertical="center"/>
    </xf>
    <xf borderId="0" fillId="0" fontId="8" numFmtId="0" xfId="0" applyAlignment="1" applyFont="1">
      <alignment horizontal="left"/>
    </xf>
    <xf borderId="11" fillId="8" fontId="21" numFmtId="0" xfId="0" applyAlignment="1" applyBorder="1" applyFill="1" applyFont="1">
      <alignment horizontal="left" readingOrder="0" vertical="center"/>
    </xf>
    <xf borderId="14" fillId="8" fontId="21" numFmtId="0" xfId="0" applyAlignment="1" applyBorder="1" applyFill="1" applyFont="1">
      <alignment horizontal="right" readingOrder="0" vertical="center"/>
    </xf>
    <xf borderId="11" fillId="8" fontId="21" numFmtId="0" xfId="0" applyAlignment="1" applyBorder="1" applyFill="1" applyFont="1">
      <alignment horizontal="right" readingOrder="0" vertical="center"/>
    </xf>
    <xf borderId="14" fillId="8" fontId="21" numFmtId="0" xfId="0" applyAlignment="1" applyBorder="1" applyFill="1" applyFont="1">
      <alignment horizontal="right" vertical="center"/>
    </xf>
    <xf borderId="21" fillId="0" fontId="7" numFmtId="0" xfId="0" applyBorder="1" applyFont="1"/>
    <xf borderId="0" fillId="0" fontId="22" numFmtId="0" xfId="0" applyAlignment="1" applyFont="1">
      <alignment horizontal="right" vertical="center"/>
    </xf>
    <xf borderId="21" fillId="0" fontId="14" numFmtId="0" xfId="0" applyAlignment="1" applyBorder="1" applyFont="1">
      <alignment readingOrder="0" vertical="center"/>
    </xf>
    <xf borderId="21" fillId="0" fontId="9" numFmtId="3" xfId="0" applyAlignment="1" applyBorder="1" applyFont="1" applyNumberFormat="1">
      <alignment horizontal="right" vertical="center"/>
    </xf>
    <xf borderId="21" fillId="0" fontId="13" numFmtId="9" xfId="0" applyAlignment="1" applyBorder="1" applyFont="1" applyNumberFormat="1">
      <alignment horizontal="right" vertical="center"/>
    </xf>
    <xf borderId="21" fillId="0" fontId="14" numFmtId="0" xfId="0" applyAlignment="1" applyBorder="1" applyFont="1">
      <alignment vertical="center"/>
    </xf>
    <xf borderId="21" fillId="0" fontId="2" numFmtId="3" xfId="0" applyAlignment="1" applyBorder="1" applyFont="1" applyNumberFormat="1">
      <alignment horizontal="right" vertical="center"/>
    </xf>
    <xf borderId="0" fillId="0" fontId="2" numFmtId="0" xfId="0" applyAlignment="1" applyFont="1">
      <alignment horizontal="left" readingOrder="0"/>
    </xf>
    <xf borderId="21" fillId="0" fontId="9" numFmtId="171" xfId="0" applyAlignment="1" applyBorder="1" applyFont="1" applyNumberFormat="1">
      <alignment horizontal="right" vertical="center"/>
    </xf>
    <xf borderId="21" fillId="0" fontId="14" numFmtId="171" xfId="0" applyAlignment="1" applyBorder="1" applyFont="1" applyNumberFormat="1">
      <alignment vertical="center"/>
    </xf>
    <xf borderId="21" fillId="0" fontId="2" numFmtId="171" xfId="0" applyAlignment="1" applyBorder="1" applyFont="1" applyNumberFormat="1">
      <alignment horizontal="right" vertical="center"/>
    </xf>
    <xf borderId="0" fillId="0" fontId="15" numFmtId="0" xfId="0" applyAlignment="1" applyFont="1">
      <alignment readingOrder="0" vertical="center"/>
    </xf>
    <xf borderId="11" fillId="7" fontId="23" numFmtId="0" xfId="0" applyAlignment="1" applyBorder="1" applyFill="1" applyFont="1">
      <alignment horizontal="center" readingOrder="0" vertical="center"/>
    </xf>
    <xf borderId="11" fillId="0" fontId="14" numFmtId="0" xfId="0" applyAlignment="1" applyBorder="1" applyFont="1">
      <alignment readingOrder="0" vertical="center"/>
    </xf>
    <xf borderId="11" fillId="0" fontId="14" numFmtId="3" xfId="0" applyAlignment="1" applyBorder="1" applyFont="1" applyNumberFormat="1">
      <alignment horizontal="right" vertical="center"/>
    </xf>
    <xf borderId="11" fillId="0" fontId="14" numFmtId="9" xfId="0" applyAlignment="1" applyBorder="1" applyFont="1" applyNumberFormat="1">
      <alignment horizontal="right" vertical="center"/>
    </xf>
    <xf borderId="11" fillId="0" fontId="14" numFmtId="165" xfId="0" applyAlignment="1" applyBorder="1" applyFont="1" applyNumberFormat="1">
      <alignment horizontal="right" vertical="center"/>
    </xf>
    <xf borderId="11" fillId="0" fontId="14" numFmtId="3" xfId="0" applyAlignment="1" applyBorder="1" applyFont="1" applyNumberFormat="1">
      <alignment horizontal="center" vertical="center"/>
    </xf>
    <xf borderId="0" fillId="0" fontId="9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1" fillId="2" fontId="18" numFmtId="0" xfId="0" applyAlignment="1" applyBorder="1" applyFill="1" applyFont="1">
      <alignment horizontal="center" readingOrder="0" vertical="center"/>
    </xf>
    <xf borderId="3" fillId="2" fontId="18" numFmtId="0" xfId="0" applyAlignment="1" applyBorder="1" applyFill="1" applyFont="1">
      <alignment horizontal="center" readingOrder="0" vertical="center"/>
    </xf>
    <xf borderId="1" fillId="4" fontId="24" numFmtId="0" xfId="0" applyAlignment="1" applyBorder="1" applyFill="1" applyFont="1">
      <alignment readingOrder="0" shrinkToFit="0" vertical="center" wrapText="0"/>
    </xf>
    <xf borderId="1" fillId="4" fontId="24" numFmtId="0" xfId="0" applyAlignment="1" applyBorder="1" applyFill="1" applyFont="1">
      <alignment shrinkToFit="0" vertical="center" wrapText="0"/>
    </xf>
    <xf borderId="3" fillId="4" fontId="24" numFmtId="0" xfId="0" applyAlignment="1" applyBorder="1" applyFill="1" applyFont="1">
      <alignment shrinkToFit="0" vertical="center" wrapText="0"/>
    </xf>
    <xf borderId="3" fillId="4" fontId="24" numFmtId="0" xfId="0" applyAlignment="1" applyBorder="1" applyFill="1" applyFont="1">
      <alignment readingOrder="0" shrinkToFit="0" vertical="center" wrapText="0"/>
    </xf>
    <xf borderId="1" fillId="4" fontId="24" numFmtId="0" xfId="0" applyAlignment="1" applyBorder="1" applyFill="1" applyFont="1">
      <alignment horizontal="left" shrinkToFit="0" vertical="center" wrapText="1"/>
    </xf>
    <xf borderId="1" fillId="4" fontId="24" numFmtId="0" xfId="0" applyAlignment="1" applyBorder="1" applyFill="1" applyFont="1">
      <alignment horizontal="center" readingOrder="0" shrinkToFit="0" vertical="center" wrapText="0"/>
    </xf>
    <xf borderId="1" fillId="4" fontId="24" numFmtId="0" xfId="0" applyAlignment="1" applyBorder="1" applyFill="1" applyFont="1">
      <alignment horizontal="center" shrinkToFit="0" vertical="center" wrapText="0"/>
    </xf>
    <xf borderId="1" fillId="4" fontId="24" numFmtId="0" xfId="0" applyAlignment="1" applyBorder="1" applyFill="1" applyFont="1">
      <alignment readingOrder="0" shrinkToFit="0" vertical="center" wrapText="0"/>
    </xf>
    <xf borderId="0" fillId="0" fontId="24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1" fillId="2" fontId="25" numFmtId="0" xfId="0" applyAlignment="1" applyBorder="1" applyFill="1" applyFont="1">
      <alignment horizontal="center" readingOrder="0" vertical="center"/>
    </xf>
    <xf borderId="3" fillId="2" fontId="25" numFmtId="0" xfId="0" applyAlignment="1" applyBorder="1" applyFill="1" applyFont="1">
      <alignment horizontal="center" readingOrder="0" vertical="center"/>
    </xf>
    <xf borderId="1" fillId="3" fontId="14" numFmtId="0" xfId="0" applyAlignment="1" applyBorder="1" applyFill="1" applyFont="1">
      <alignment horizontal="left" readingOrder="0" shrinkToFit="0" vertical="center" wrapText="1"/>
    </xf>
    <xf borderId="3" fillId="3" fontId="14" numFmtId="0" xfId="0" applyAlignment="1" applyBorder="1" applyFill="1" applyFont="1">
      <alignment horizontal="left" readingOrder="0" shrinkToFit="0" vertical="center" wrapText="1"/>
    </xf>
    <xf borderId="1" fillId="3" fontId="14" numFmtId="0" xfId="0" applyAlignment="1" applyBorder="1" applyFill="1" applyFont="1">
      <alignment horizontal="left" shrinkToFit="0" vertical="center" wrapText="1"/>
    </xf>
    <xf borderId="1" fillId="9" fontId="14" numFmtId="0" xfId="0" applyAlignment="1" applyBorder="1" applyFill="1" applyFont="1">
      <alignment horizontal="left" shrinkToFit="0" vertical="center" wrapText="1"/>
    </xf>
    <xf borderId="1" fillId="9" fontId="1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14" fillId="7" fontId="23" numFmtId="0" xfId="0" applyAlignment="1" applyBorder="1" applyFill="1" applyFont="1">
      <alignment horizontal="center" readingOrder="0" vertical="center"/>
    </xf>
    <xf borderId="11" fillId="0" fontId="24" numFmtId="0" xfId="0" applyAlignment="1" applyBorder="1" applyFont="1">
      <alignment shrinkToFit="0" vertical="center" wrapText="1"/>
    </xf>
    <xf borderId="14" fillId="0" fontId="24" numFmtId="0" xfId="0" applyAlignment="1" applyBorder="1" applyFont="1">
      <alignment shrinkToFit="0" vertical="center" wrapText="1"/>
    </xf>
    <xf borderId="11" fillId="0" fontId="24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3" fillId="3" fontId="14" numFmtId="0" xfId="0" applyAlignment="1" applyBorder="1" applyFill="1" applyFont="1">
      <alignment horizontal="left" shrinkToFit="0" vertical="center" wrapText="1"/>
    </xf>
    <xf borderId="0" fillId="0" fontId="26" numFmtId="0" xfId="0" applyAlignment="1" applyBorder="1" applyFill="1" applyFont="1" applyNumberFormat="1">
      <alignment vertical="center"/>
    </xf>
    <xf borderId="23" fillId="0" fontId="27" numFmtId="0" xfId="0" applyAlignment="1" applyBorder="1" applyFill="1" applyFont="1" applyNumberFormat="1">
      <alignment vertical="center"/>
    </xf>
    <xf borderId="0" fillId="0" fontId="28" numFmtId="0" xfId="0" applyAlignment="1" applyBorder="1" applyFill="1" applyFont="1" applyNumberFormat="1">
      <alignment vertical="center"/>
    </xf>
    <xf borderId="0" fillId="0" fontId="32" numFmtId="0" xfId="0" applyAlignment="1" applyBorder="1" applyFill="1" applyFont="1" applyNumberFormat="1">
      <alignment vertical="center"/>
    </xf>
    <xf borderId="22" fillId="12" fontId="29" numFmtId="0" xfId="0" applyAlignment="1" applyBorder="1" applyFill="1" applyFont="1" applyNumberFormat="1">
      <alignment vertical="center" horizontal="center" wrapText="1"/>
    </xf>
    <xf borderId="22" fillId="0" fontId="28" numFmtId="0" xfId="0" applyAlignment="1" applyBorder="1" applyFill="1" applyFont="1" applyNumberFormat="1">
      <alignment vertical="center"/>
    </xf>
    <xf borderId="22" fillId="0" fontId="28" numFmtId="0" xfId="0" applyAlignment="1" applyBorder="1" applyFill="1" applyFont="1" applyNumberFormat="1">
      <alignment vertical="top" wrapText="1"/>
    </xf>
    <xf borderId="22" fillId="0" fontId="28" numFmtId="3" xfId="0" applyAlignment="1" applyBorder="1" applyFill="1" applyFont="1" applyNumberFormat="1">
      <alignment vertical="center"/>
    </xf>
    <xf borderId="22" fillId="0" fontId="28" numFmtId="200" xfId="0" applyAlignment="1" applyBorder="1" applyFill="1" applyFont="1" applyNumberFormat="1">
      <alignment vertical="center"/>
    </xf>
    <xf borderId="22" fillId="0" fontId="28" numFmtId="9" xfId="0" applyAlignment="1" applyBorder="1" applyFill="1" applyFont="1" applyNumberFormat="1">
      <alignment vertical="center"/>
    </xf>
    <xf borderId="22" fillId="0" fontId="28" numFmtId="0" xfId="0" applyAlignment="1" applyBorder="1" applyFill="1" applyFont="1" applyNumberFormat="1">
      <alignment vertical="center" horizontal="center"/>
    </xf>
    <xf borderId="22" fillId="10" fontId="30" numFmtId="0" xfId="0" applyAlignment="1" applyBorder="1" applyFill="1" applyFont="1" applyNumberFormat="1">
      <alignment vertical="center" horizontal="center"/>
    </xf>
    <xf borderId="22" fillId="11" fontId="31" numFmtId="0" xfId="0" applyAlignment="1" applyBorder="1" applyFill="1" applyFont="1" applyNumberFormat="1">
      <alignment vertical="center" horizontal="center"/>
    </xf>
    <xf borderId="22" fillId="10" fontId="30" numFmtId="200" xfId="0" applyAlignment="1" applyBorder="1" applyFill="1" applyFont="1" applyNumberFormat="1">
      <alignment vertical="center"/>
    </xf>
    <xf borderId="22" fillId="10" fontId="30" numFmtId="0" xfId="0" applyAlignment="1" applyBorder="1" applyFill="1" applyFont="1" applyNumberFormat="1">
      <alignment vertical="center" horizontal="center"/>
    </xf>
    <xf borderId="22" fillId="11" fontId="31" numFmtId="0" xfId="0" applyAlignment="1" applyBorder="1" applyFill="1" applyFont="1" applyNumberFormat="1">
      <alignment vertical="center" horizontal="center"/>
    </xf>
    <xf borderId="22" fillId="0" fontId="33" numFmtId="0" xfId="0" applyAlignment="1" applyBorder="1" applyFill="1" applyFont="1" applyNumberFormat="1">
      <alignment vertical="center" horizontal="center"/>
    </xf>
  </cellXfs>
  <cellStyles count="1">
    <cellStyle xfId="0" name="Normal" builtinId="0"/>
  </cellStyles>
  <dxfs count="11">
    <dxf>
      <font>
        <b/>
        <color rgb="FFCC0000"/>
      </font>
      <fill>
        <patternFill patternType="none"/>
      </fill>
      <border/>
    </dxf>
    <dxf>
      <font>
        <b/>
        <color rgb="FFE39138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b/>
        <color rgb="FFE49138"/>
      </font>
      <fill>
        <patternFill patternType="none"/>
      </fill>
      <border/>
    </dxf>
    <dxf>
      <font>
        <b/>
        <color rgb="FFC62828"/>
      </font>
      <fill>
        <patternFill patternType="none"/>
      </fill>
      <border/>
    </dxf>
    <dxf>
      <font>
        <b/>
        <color rgb="FFD8720C"/>
      </font>
      <fill>
        <patternFill patternType="none"/>
      </fill>
      <border/>
    </dxf>
    <dxf>
      <font/>
      <fill>
        <patternFill patternType="solid">
          <fgColor rgb="FFC62828"/>
          <bgColor rgb="FFC62828"/>
        </patternFill>
      </fill>
      <border/>
    </dxf>
    <dxf>
      <font/>
      <fill>
        <patternFill patternType="solid">
          <fgColor rgb="FFD8720C"/>
          <bgColor rgb="FFD8720C"/>
        </patternFill>
      </fill>
      <border/>
    </dxf>
    <dxf>
      <font>
        <b/>
        <color rgb="FFD86600"/>
      </font>
      <fill>
        <patternFill patternType="none"/>
      </fill>
      <border/>
    </dxf>
    <dxf>
      <font>
        <b/>
        <color rgb="FFCC0000"/>
      </font>
      <fill>
        <patternFill patternType="solid">
          <fgColor rgb="FFF4CCCC"/>
          <bgColor rgb="FFF4CCCC"/>
        </patternFill>
      </fill>
      <border/>
    </dxf>
    <dxf>
      <font>
        <b/>
        <color rgb="FFB45F06"/>
      </font>
      <fill>
        <patternFill patternType="solid">
          <fgColor rgb="FFFBE4CD"/>
          <bgColor rgb="FFFBE4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_diag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900">
                <a:solidFill>
                  <a:srgbClr val="757575"/>
                </a:solidFill>
                <a:latin typeface="Roboto"/>
              </a:defRPr>
            </a:pPr>
            <a:r>
              <a:rPr b="0" sz="900">
                <a:solidFill>
                  <a:srgbClr val="757575"/>
                </a:solidFill>
                <a:latin typeface="Roboto"/>
              </a:rPr>
              <a:t>受注数の累計と着地見込み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'月次レポート'!$N$23</c:f>
            </c:strRef>
          </c:tx>
          <c:spPr>
            <a:ln cmpd="sng" w="19050">
              <a:solidFill>
                <a:srgbClr val="191919"/>
              </a:solidFill>
              <a:prstDash val="solid"/>
            </a:ln>
          </c:spPr>
          <c:marker>
            <c:symbol val="none"/>
          </c:marker>
          <c:cat>
            <c:strRef>
              <c:f>'月次レポート'!$M$24:$M$36</c:f>
            </c:strRef>
          </c:cat>
          <c:val>
            <c:numRef>
              <c:f>'月次レポート'!$N$24:$N$36</c:f>
              <c:numCache/>
            </c:numRef>
          </c:val>
          <c:smooth val="0"/>
        </c:ser>
        <c:ser>
          <c:idx val="1"/>
          <c:order val="1"/>
          <c:tx>
            <c:strRef>
              <c:f>'月次レポート'!$O$23</c:f>
            </c:strRef>
          </c:tx>
          <c:spPr>
            <a:ln cmpd="sng" w="19050">
              <a:solidFill>
                <a:srgbClr val="727272"/>
              </a:solidFill>
              <a:prstDash val="dash"/>
            </a:ln>
          </c:spPr>
          <c:marker>
            <c:symbol val="none"/>
          </c:marker>
          <c:cat>
            <c:strRef>
              <c:f>'月次レポート'!$M$24:$M$36</c:f>
            </c:strRef>
          </c:cat>
          <c:val>
            <c:numRef>
              <c:f>'月次レポート'!$O$24:$O$36</c:f>
              <c:numCache/>
            </c:numRef>
          </c:val>
          <c:smooth val="0"/>
        </c:ser>
        <c:ser>
          <c:idx val="2"/>
          <c:order val="2"/>
          <c:tx>
            <c:strRef>
              <c:f>'月次レポート'!$P$23</c:f>
            </c:strRef>
          </c:tx>
          <c:spPr>
            <a:ln cmpd="sng" w="9525">
              <a:solidFill>
                <a:srgbClr val="C62828"/>
              </a:solidFill>
              <a:prstDash val="solid"/>
            </a:ln>
          </c:spPr>
          <c:marker>
            <c:symbol val="none"/>
          </c:marker>
          <c:cat>
            <c:strRef>
              <c:f>'月次レポート'!$M$24:$M$36</c:f>
            </c:strRef>
          </c:cat>
          <c:val>
            <c:numRef>
              <c:f>'月次レポート'!$P$24:$P$36</c:f>
              <c:numCache/>
            </c:numRef>
          </c:val>
          <c:smooth val="0"/>
        </c:ser>
        <c:axId val="1270187668"/>
        <c:axId val="738893811"/>
      </c:lineChart>
      <c:catAx>
        <c:axId val="1270187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Roboto"/>
              </a:defRPr>
            </a:pPr>
          </a:p>
        </c:txPr>
        <c:crossAx val="738893811"/>
      </c:catAx>
      <c:valAx>
        <c:axId val="738893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Roboto"/>
              </a:defRPr>
            </a:pPr>
          </a:p>
        </c:txPr>
        <c:crossAx val="1270187668"/>
      </c:valAx>
    </c:plotArea>
    <c:legend>
      <c:legendPos val="b"/>
      <c:overlay val="0"/>
      <c:txPr>
        <a:bodyPr/>
        <a:lstStyle/>
        <a:p>
          <a:pPr lvl="0">
            <a:defRPr b="0" sz="900">
              <a:solidFill>
                <a:srgbClr val="1A1A1A"/>
              </a:solidFill>
              <a:latin typeface="Roboto"/>
            </a:defRPr>
          </a:pPr>
        </a:p>
      </c:txPr>
    </c:legend>
    <c:plotVisOnly val="0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2</xdr:row>
      <xdr:rowOff>28575</xdr:rowOff>
    </xdr:from>
    <xdr:ext cx="3562350" cy="2305050"/>
    <xdr:graphicFrame>
      <xdr:nvGraphicFramePr>
        <xdr:cNvPr id="1" name="Chart 1" title="受注数の累計と着地見込み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6.86"/>
    <col customWidth="1" min="2" max="16" width="12.71"/>
  </cols>
  <sheetData>
    <row r="1">
      <c r="A1" s="1" t="s">
        <v>1</v>
      </c>
      <c r="D1" s="4" t="s">
        <v>2</v>
      </c>
      <c r="F1" s="4"/>
    </row>
    <row r="3">
      <c r="A3" s="1" t="s">
        <v>7</v>
      </c>
    </row>
    <row r="4">
      <c r="A4" s="5"/>
    </row>
    <row r="5">
      <c r="A5" s="5" t="s">
        <v>8</v>
      </c>
      <c r="K5" s="8" t="s">
        <v>9</v>
      </c>
    </row>
    <row r="6">
      <c r="A6" s="9" t="s">
        <v>12</v>
      </c>
      <c r="B6" s="9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21</v>
      </c>
      <c r="H6" s="9" t="s">
        <v>23</v>
      </c>
      <c r="I6" s="9" t="s">
        <v>25</v>
      </c>
      <c r="K6" s="15" t="s">
        <v>26</v>
      </c>
    </row>
    <row r="7">
      <c r="A7" s="16">
        <v>46478.0</v>
      </c>
      <c r="B7" s="18">
        <v>5750.0</v>
      </c>
      <c r="C7" s="18">
        <v>250.0</v>
      </c>
      <c r="D7" s="19">
        <v>0.4</v>
      </c>
      <c r="E7" s="20">
        <v>1.5</v>
      </c>
      <c r="F7" s="21">
        <v>4.0</v>
      </c>
      <c r="G7" s="26">
        <f>C7*D7/12</f>
      </c>
      <c r="H7" s="26">
        <f>C7*D7*E7</f>
      </c>
      <c r="I7" s="26">
        <f>IF(B17=0,0,H7*H17/B17)</f>
      </c>
      <c r="K7" s="18">
        <v>0.0</v>
      </c>
    </row>
    <row r="8">
      <c r="A8" s="30"/>
      <c r="B8" s="30"/>
      <c r="C8" s="30"/>
    </row>
    <row r="9">
      <c r="A9" s="5" t="s">
        <v>53</v>
      </c>
    </row>
    <row r="10">
      <c r="A10" s="9" t="s">
        <v>13</v>
      </c>
      <c r="B10" s="9" t="s">
        <v>34</v>
      </c>
      <c r="C10" s="9" t="s">
        <v>36</v>
      </c>
      <c r="D10" s="9" t="s">
        <v>37</v>
      </c>
      <c r="E10" s="9" t="s">
        <v>38</v>
      </c>
      <c r="F10" s="9" t="s">
        <v>39</v>
      </c>
      <c r="G10" s="9" t="s">
        <v>40</v>
      </c>
      <c r="H10" s="9" t="s">
        <v>41</v>
      </c>
      <c r="I10" s="9" t="s">
        <v>55</v>
      </c>
      <c r="J10" s="9" t="s">
        <v>56</v>
      </c>
      <c r="K10" s="9" t="s">
        <v>57</v>
      </c>
      <c r="L10" s="9" t="s">
        <v>58</v>
      </c>
      <c r="M10" s="9" t="s">
        <v>43</v>
      </c>
      <c r="N10" s="9" t="s">
        <v>19</v>
      </c>
      <c r="O10" s="9" t="s">
        <v>59</v>
      </c>
    </row>
    <row r="11">
      <c r="A11" s="35" t="s">
        <v>60</v>
      </c>
      <c r="B11" s="18">
        <v>220.0</v>
      </c>
      <c r="C11" s="36">
        <f t="shared" ref="C11:C17" si="1">IF(B11=0,0,D11/B11)</f>
      </c>
      <c r="D11" s="18">
        <v>55.0</v>
      </c>
      <c r="E11" s="36">
        <f t="shared" ref="E11:E17" si="2">IF(D11=0,0,F11/D11)</f>
      </c>
      <c r="F11" s="18">
        <v>22.0</v>
      </c>
      <c r="G11" s="36">
        <f t="shared" ref="G11:G17" si="3">IF(F11=0,0,H11/F11)</f>
      </c>
      <c r="H11" s="18">
        <v>6.0</v>
      </c>
      <c r="I11" s="40">
        <f t="shared" ref="I11:I16" si="4">H11*$C$7</f>
      </c>
      <c r="J11" s="18">
        <v>500.0</v>
      </c>
      <c r="K11" s="18">
        <v>107.0</v>
      </c>
      <c r="L11" s="26">
        <f t="shared" ref="L11:L17" si="5">IF(B11=0,0,(J11+K11)/B11)</f>
      </c>
      <c r="M11" s="40">
        <f t="shared" ref="M11:M17" si="6">IF(H11=0,0,(J11+K11)/H11)</f>
      </c>
      <c r="N11" s="43">
        <f t="shared" ref="N11:N17" si="7">IF($G$7=0,0,M11/$G$7)</f>
      </c>
      <c r="O11" s="45">
        <f t="shared" ref="O11:O17" si="8">IF(B11=0,"",IF(L11&lt;=$I$7,"上限内","上限超え"))</f>
      </c>
    </row>
    <row r="12">
      <c r="A12" s="35" t="s">
        <v>87</v>
      </c>
      <c r="B12" s="18">
        <v>80.0</v>
      </c>
      <c r="C12" s="36">
        <f t="shared" si="1"/>
      </c>
      <c r="D12" s="18">
        <v>50.0</v>
      </c>
      <c r="E12" s="36">
        <f t="shared" si="2"/>
      </c>
      <c r="F12" s="18">
        <v>20.0</v>
      </c>
      <c r="G12" s="36">
        <f t="shared" si="3"/>
      </c>
      <c r="H12" s="18">
        <v>6.0</v>
      </c>
      <c r="I12" s="40">
        <f t="shared" si="4"/>
      </c>
      <c r="J12" s="18">
        <v>90.0</v>
      </c>
      <c r="K12" s="18">
        <v>80.0</v>
      </c>
      <c r="L12" s="26">
        <f t="shared" si="5"/>
      </c>
      <c r="M12" s="40">
        <f t="shared" si="6"/>
      </c>
      <c r="N12" s="43">
        <f t="shared" si="7"/>
      </c>
      <c r="O12" s="45">
        <f t="shared" si="8"/>
      </c>
    </row>
    <row r="13">
      <c r="A13" s="35" t="s">
        <v>66</v>
      </c>
      <c r="B13" s="18">
        <v>95.0</v>
      </c>
      <c r="C13" s="36">
        <f t="shared" si="1"/>
      </c>
      <c r="D13" s="18">
        <v>43.0</v>
      </c>
      <c r="E13" s="36">
        <f t="shared" si="2"/>
      </c>
      <c r="F13" s="18">
        <v>17.0</v>
      </c>
      <c r="G13" s="36">
        <f t="shared" si="3"/>
      </c>
      <c r="H13" s="18">
        <v>5.0</v>
      </c>
      <c r="I13" s="40">
        <f t="shared" si="4"/>
      </c>
      <c r="J13" s="18">
        <v>488.0</v>
      </c>
      <c r="K13" s="18">
        <v>35.0</v>
      </c>
      <c r="L13" s="26">
        <f t="shared" si="5"/>
      </c>
      <c r="M13" s="40">
        <f t="shared" si="6"/>
      </c>
      <c r="N13" s="43">
        <f t="shared" si="7"/>
      </c>
      <c r="O13" s="45">
        <f t="shared" si="8"/>
      </c>
    </row>
    <row r="14">
      <c r="A14" s="35" t="s">
        <v>46</v>
      </c>
      <c r="B14" s="18">
        <v>90.0</v>
      </c>
      <c r="C14" s="36">
        <f t="shared" si="1"/>
      </c>
      <c r="D14" s="18">
        <v>34.0</v>
      </c>
      <c r="E14" s="36">
        <f t="shared" si="2"/>
      </c>
      <c r="F14" s="18">
        <v>14.0</v>
      </c>
      <c r="G14" s="36">
        <f t="shared" si="3"/>
      </c>
      <c r="H14" s="18">
        <v>4.0</v>
      </c>
      <c r="I14" s="40">
        <f t="shared" si="4"/>
      </c>
      <c r="J14" s="18">
        <v>356.0</v>
      </c>
      <c r="K14" s="18">
        <v>141.0</v>
      </c>
      <c r="L14" s="26">
        <f t="shared" si="5"/>
      </c>
      <c r="M14" s="40">
        <f t="shared" si="6"/>
      </c>
      <c r="N14" s="43">
        <f t="shared" si="7"/>
      </c>
      <c r="O14" s="45">
        <f t="shared" si="8"/>
      </c>
    </row>
    <row r="15">
      <c r="A15" s="35" t="s">
        <v>99</v>
      </c>
      <c r="B15" s="18">
        <v>12.0</v>
      </c>
      <c r="C15" s="36">
        <f t="shared" si="1"/>
      </c>
      <c r="D15" s="18">
        <v>5.0</v>
      </c>
      <c r="E15" s="36">
        <f t="shared" si="2"/>
      </c>
      <c r="F15" s="18">
        <v>2.0</v>
      </c>
      <c r="G15" s="36">
        <f t="shared" si="3"/>
      </c>
      <c r="H15" s="18">
        <v>1.0</v>
      </c>
      <c r="I15" s="40">
        <f t="shared" si="4"/>
      </c>
      <c r="J15" s="18">
        <v>12.0</v>
      </c>
      <c r="K15" s="18">
        <v>42.0</v>
      </c>
      <c r="L15" s="26">
        <f t="shared" si="5"/>
      </c>
      <c r="M15" s="40">
        <f t="shared" si="6"/>
      </c>
      <c r="N15" s="43">
        <f t="shared" si="7"/>
      </c>
      <c r="O15" s="45">
        <f t="shared" si="8"/>
      </c>
    </row>
    <row r="16">
      <c r="A16" s="35" t="s">
        <v>62</v>
      </c>
      <c r="B16" s="18">
        <v>20.0</v>
      </c>
      <c r="C16" s="36">
        <f t="shared" si="1"/>
      </c>
      <c r="D16" s="18">
        <v>8.0</v>
      </c>
      <c r="E16" s="36">
        <f t="shared" si="2"/>
      </c>
      <c r="F16" s="18">
        <v>3.0</v>
      </c>
      <c r="G16" s="36">
        <f t="shared" si="3"/>
      </c>
      <c r="H16" s="18">
        <v>1.0</v>
      </c>
      <c r="I16" s="40">
        <f t="shared" si="4"/>
      </c>
      <c r="J16" s="18">
        <v>96.0</v>
      </c>
      <c r="K16" s="18">
        <v>107.0</v>
      </c>
      <c r="L16" s="26">
        <f t="shared" si="5"/>
      </c>
      <c r="M16" s="40">
        <f t="shared" si="6"/>
      </c>
      <c r="N16" s="43">
        <f t="shared" si="7"/>
      </c>
      <c r="O16" s="45">
        <f t="shared" si="8"/>
      </c>
    </row>
    <row r="17">
      <c r="A17" s="48" t="s">
        <v>106</v>
      </c>
      <c r="B17" s="51">
        <f>SUM(B11:B16)</f>
      </c>
      <c r="C17" s="52">
        <f t="shared" si="1"/>
      </c>
      <c r="D17" s="51">
        <f>SUM(D11:D16)</f>
      </c>
      <c r="E17" s="52">
        <f t="shared" si="2"/>
      </c>
      <c r="F17" s="51">
        <f>SUM(F11:F16)</f>
      </c>
      <c r="G17" s="52">
        <f t="shared" si="3"/>
      </c>
      <c r="H17" s="51">
        <f t="shared" ref="H17:K17" si="9">SUM(H11:H16)</f>
      </c>
      <c r="I17" s="51">
        <f t="shared" si="9"/>
      </c>
      <c r="J17" s="51">
        <f t="shared" si="9"/>
      </c>
      <c r="K17" s="51">
        <f t="shared" si="9"/>
      </c>
      <c r="L17" s="53">
        <f t="shared" si="5"/>
      </c>
      <c r="M17" s="51">
        <f t="shared" si="6"/>
      </c>
      <c r="N17" s="54">
        <f t="shared" si="7"/>
      </c>
      <c r="O17" s="55">
        <f t="shared" si="8"/>
      </c>
    </row>
    <row r="18">
      <c r="A18" s="56" t="s">
        <v>130</v>
      </c>
    </row>
    <row r="19"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" t="s">
        <v>136</v>
      </c>
      <c r="K20" s="5" t="s">
        <v>137</v>
      </c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59"/>
      <c r="B21" s="15" t="s">
        <v>34</v>
      </c>
      <c r="C21" s="9" t="s">
        <v>36</v>
      </c>
      <c r="D21" s="15" t="s">
        <v>37</v>
      </c>
      <c r="E21" s="9" t="s">
        <v>38</v>
      </c>
      <c r="F21" s="15" t="s">
        <v>39</v>
      </c>
      <c r="G21" s="9" t="s">
        <v>40</v>
      </c>
      <c r="H21" s="15" t="s">
        <v>41</v>
      </c>
      <c r="I21" s="9" t="s">
        <v>55</v>
      </c>
      <c r="K21" s="15" t="s">
        <v>141</v>
      </c>
      <c r="L21" s="15" t="s">
        <v>142</v>
      </c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35" t="s">
        <v>143</v>
      </c>
      <c r="B22" s="40">
        <f>IF(D23=0,0,ROUNDUP(D22*B23/D23,0))</f>
      </c>
      <c r="C22" s="65">
        <f t="shared" ref="C22:C23" si="10">IF(B22=0,0,D22/B22)</f>
      </c>
      <c r="D22" s="40">
        <f>IF(F23=0,0,ROUNDUP(F22*D23/F23,0))</f>
      </c>
      <c r="E22" s="65">
        <f t="shared" ref="E22:E23" si="11">IF(D22=0,0,F22/D22)</f>
      </c>
      <c r="F22" s="40">
        <f>IF(H23=0,0,ROUNDUP(H22*F23/H23,0))</f>
      </c>
      <c r="G22" s="65">
        <f t="shared" ref="G22:G23" si="12">IF(F22=0,0,H22/F22)</f>
      </c>
      <c r="H22" s="40">
        <f>IF(C7=0,0,ROUNDUP(B7/C7,0))</f>
      </c>
      <c r="I22" s="40">
        <f>B7</f>
      </c>
      <c r="K22" s="40">
        <f>J17+K17+K7</f>
      </c>
      <c r="L22" s="65">
        <f>IF(K22=0,0,(I17*D7-K22)/K22)</f>
      </c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35" t="s">
        <v>144</v>
      </c>
      <c r="B23" s="40">
        <f>B17</f>
      </c>
      <c r="C23" s="72">
        <f t="shared" si="10"/>
      </c>
      <c r="D23" s="73">
        <f>D17</f>
      </c>
      <c r="E23" s="72">
        <f t="shared" si="11"/>
      </c>
      <c r="F23" s="73">
        <f>F17</f>
      </c>
      <c r="G23" s="72">
        <f t="shared" si="12"/>
      </c>
      <c r="H23" s="73">
        <f t="shared" ref="H23:I23" si="13">H17</f>
      </c>
      <c r="I23" s="73">
        <f t="shared" si="13"/>
      </c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35" t="s">
        <v>45</v>
      </c>
      <c r="B24" s="76">
        <f>IF(B23&gt;=B22,"足りる","直す")</f>
      </c>
      <c r="C24" s="77" t="s">
        <v>145</v>
      </c>
      <c r="D24" s="78">
        <f>IF(D23&gt;=D22,"足りる","直す")</f>
      </c>
      <c r="E24" s="77" t="s">
        <v>145</v>
      </c>
      <c r="F24" s="78">
        <f>IF(F23&gt;=F22,"足りる","直す")</f>
      </c>
      <c r="G24" s="77" t="s">
        <v>145</v>
      </c>
      <c r="H24" s="78">
        <f t="shared" ref="H24:I24" si="14">IF(H23&gt;=H22,"足りる","直す")</f>
      </c>
      <c r="I24" s="78">
        <f t="shared" si="14"/>
      </c>
      <c r="R24" s="57"/>
      <c r="S24" s="57"/>
      <c r="T24" s="57"/>
      <c r="U24" s="57"/>
      <c r="V24" s="57"/>
      <c r="W24" s="57"/>
      <c r="X24" s="57"/>
      <c r="Y24" s="57"/>
      <c r="Z24" s="57"/>
    </row>
    <row r="26">
      <c r="A26" s="5"/>
    </row>
    <row r="27">
      <c r="A27" s="1" t="s">
        <v>146</v>
      </c>
    </row>
    <row r="29">
      <c r="A29" s="5" t="s">
        <v>147</v>
      </c>
      <c r="C29" s="8" t="s">
        <v>148</v>
      </c>
    </row>
    <row r="30">
      <c r="A30" s="79"/>
      <c r="B30" s="80"/>
      <c r="C30" s="15">
        <f t="shared" ref="C30:N30" si="15">MONTH(EDATE($A$7,COLUMN()-3))&amp;"月"</f>
      </c>
      <c r="D30" s="15">
        <f t="shared" si="15"/>
      </c>
      <c r="E30" s="15">
        <f t="shared" si="15"/>
      </c>
      <c r="F30" s="15">
        <f t="shared" si="15"/>
      </c>
      <c r="G30" s="15">
        <f t="shared" si="15"/>
      </c>
      <c r="H30" s="15">
        <f t="shared" si="15"/>
      </c>
      <c r="I30" s="15">
        <f t="shared" si="15"/>
      </c>
      <c r="J30" s="15">
        <f t="shared" si="15"/>
      </c>
      <c r="K30" s="15">
        <f t="shared" si="15"/>
      </c>
      <c r="L30" s="15">
        <f t="shared" si="15"/>
      </c>
      <c r="M30" s="15">
        <f t="shared" si="15"/>
      </c>
      <c r="N30" s="15">
        <f t="shared" si="15"/>
      </c>
      <c r="O30" s="15" t="s">
        <v>69</v>
      </c>
      <c r="P30" s="15" t="s">
        <v>149</v>
      </c>
    </row>
    <row r="31">
      <c r="A31" s="81" t="s">
        <v>34</v>
      </c>
      <c r="B31" s="82"/>
      <c r="C31" s="83">
        <f t="shared" ref="C31:N31" si="16">C38+C44+C50+C56+C62+C68</f>
      </c>
      <c r="D31" s="51">
        <f t="shared" si="16"/>
      </c>
      <c r="E31" s="51">
        <f t="shared" si="16"/>
      </c>
      <c r="F31" s="51">
        <f t="shared" si="16"/>
      </c>
      <c r="G31" s="51">
        <f t="shared" si="16"/>
      </c>
      <c r="H31" s="51">
        <f t="shared" si="16"/>
      </c>
      <c r="I31" s="51">
        <f t="shared" si="16"/>
      </c>
      <c r="J31" s="51">
        <f t="shared" si="16"/>
      </c>
      <c r="K31" s="51">
        <f t="shared" si="16"/>
      </c>
      <c r="L31" s="51">
        <f t="shared" si="16"/>
      </c>
      <c r="M31" s="51">
        <f t="shared" si="16"/>
      </c>
      <c r="N31" s="51">
        <f t="shared" si="16"/>
      </c>
      <c r="O31" s="51">
        <f t="shared" ref="O31:O33" si="18">SUM(C31:N31)</f>
      </c>
      <c r="P31" s="51">
        <f>O31-B17</f>
      </c>
    </row>
    <row r="32">
      <c r="A32" s="84" t="s">
        <v>37</v>
      </c>
      <c r="B32" s="82"/>
      <c r="C32" s="83">
        <f t="shared" ref="C32:N32" si="17">C39+C45+C51+C57+C63+C69</f>
      </c>
      <c r="D32" s="51">
        <f t="shared" si="17"/>
      </c>
      <c r="E32" s="51">
        <f t="shared" si="17"/>
      </c>
      <c r="F32" s="51">
        <f t="shared" si="17"/>
      </c>
      <c r="G32" s="51">
        <f t="shared" si="17"/>
      </c>
      <c r="H32" s="51">
        <f t="shared" si="17"/>
      </c>
      <c r="I32" s="51">
        <f t="shared" si="17"/>
      </c>
      <c r="J32" s="51">
        <f t="shared" si="17"/>
      </c>
      <c r="K32" s="51">
        <f t="shared" si="17"/>
      </c>
      <c r="L32" s="51">
        <f t="shared" si="17"/>
      </c>
      <c r="M32" s="51">
        <f t="shared" si="17"/>
      </c>
      <c r="N32" s="51">
        <f t="shared" si="17"/>
      </c>
      <c r="O32" s="51">
        <f t="shared" si="18"/>
      </c>
      <c r="P32" s="51">
        <f>O32-D17</f>
      </c>
    </row>
    <row r="33">
      <c r="A33" s="84" t="s">
        <v>152</v>
      </c>
      <c r="B33" s="82"/>
      <c r="C33" s="86">
        <f t="shared" ref="C33:N33" si="19">IF($D$17=0,0,INDEX($C$32:$N$32,MOD(COLUMN()-COLUMN($C$32)-$F$7,12)+1)*$H$17/$D$17)</f>
      </c>
      <c r="D33" s="43">
        <f t="shared" si="19"/>
      </c>
      <c r="E33" s="43">
        <f t="shared" si="19"/>
      </c>
      <c r="F33" s="43">
        <f t="shared" si="19"/>
      </c>
      <c r="G33" s="43">
        <f t="shared" si="19"/>
      </c>
      <c r="H33" s="43">
        <f t="shared" si="19"/>
      </c>
      <c r="I33" s="43">
        <f t="shared" si="19"/>
      </c>
      <c r="J33" s="43">
        <f t="shared" si="19"/>
      </c>
      <c r="K33" s="43">
        <f t="shared" si="19"/>
      </c>
      <c r="L33" s="43">
        <f t="shared" si="19"/>
      </c>
      <c r="M33" s="43">
        <f t="shared" si="19"/>
      </c>
      <c r="N33" s="43">
        <f t="shared" si="19"/>
      </c>
      <c r="O33" s="43">
        <f t="shared" si="18"/>
      </c>
      <c r="P33" s="43">
        <f>O33-H17</f>
      </c>
    </row>
    <row r="34">
      <c r="A34" s="56" t="s">
        <v>155</v>
      </c>
    </row>
    <row r="36">
      <c r="A36" s="5" t="s">
        <v>156</v>
      </c>
      <c r="C36" s="30" t="s">
        <v>158</v>
      </c>
    </row>
    <row r="37">
      <c r="A37" s="90" t="s">
        <v>13</v>
      </c>
      <c r="B37" s="15" t="s">
        <v>60</v>
      </c>
      <c r="C37" s="15">
        <f t="shared" ref="C37:N37" si="20">MONTH(EDATE($A$7,COLUMN()-3))&amp;"月"</f>
      </c>
      <c r="D37" s="15">
        <f t="shared" si="20"/>
      </c>
      <c r="E37" s="15">
        <f t="shared" si="20"/>
      </c>
      <c r="F37" s="15">
        <f t="shared" si="20"/>
      </c>
      <c r="G37" s="15">
        <f t="shared" si="20"/>
      </c>
      <c r="H37" s="15">
        <f t="shared" si="20"/>
      </c>
      <c r="I37" s="15">
        <f t="shared" si="20"/>
      </c>
      <c r="J37" s="15">
        <f t="shared" si="20"/>
      </c>
      <c r="K37" s="15">
        <f t="shared" si="20"/>
      </c>
      <c r="L37" s="15">
        <f t="shared" si="20"/>
      </c>
      <c r="M37" s="15">
        <f t="shared" si="20"/>
      </c>
      <c r="N37" s="15">
        <f t="shared" si="20"/>
      </c>
      <c r="O37" s="15" t="s">
        <v>69</v>
      </c>
      <c r="P37" s="15" t="s">
        <v>149</v>
      </c>
    </row>
    <row r="38">
      <c r="A38" s="91" t="s">
        <v>60</v>
      </c>
      <c r="B38" s="92" t="s">
        <v>34</v>
      </c>
      <c r="C38" s="93">
        <v>0.0</v>
      </c>
      <c r="D38" s="93">
        <v>0.0</v>
      </c>
      <c r="E38" s="93">
        <v>110.0</v>
      </c>
      <c r="F38" s="93">
        <v>0.0</v>
      </c>
      <c r="G38" s="93">
        <v>0.0</v>
      </c>
      <c r="H38" s="93">
        <v>0.0</v>
      </c>
      <c r="I38" s="93">
        <v>0.0</v>
      </c>
      <c r="J38" s="93">
        <v>110.0</v>
      </c>
      <c r="K38" s="93">
        <v>0.0</v>
      </c>
      <c r="L38" s="93">
        <v>0.0</v>
      </c>
      <c r="M38" s="93">
        <v>0.0</v>
      </c>
      <c r="N38" s="93">
        <v>0.0</v>
      </c>
      <c r="O38" s="94">
        <f t="shared" ref="O38:O41" si="21">SUM(C38:N38)</f>
      </c>
      <c r="P38" s="94">
        <f>O38-$B$11</f>
      </c>
    </row>
    <row r="39">
      <c r="A39" s="96"/>
      <c r="B39" s="92" t="s">
        <v>37</v>
      </c>
      <c r="C39" s="93">
        <v>0.0</v>
      </c>
      <c r="D39" s="93">
        <v>0.0</v>
      </c>
      <c r="E39" s="93">
        <v>27.0</v>
      </c>
      <c r="F39" s="93">
        <v>0.0</v>
      </c>
      <c r="G39" s="93">
        <v>0.0</v>
      </c>
      <c r="H39" s="93">
        <v>0.0</v>
      </c>
      <c r="I39" s="93">
        <v>0.0</v>
      </c>
      <c r="J39" s="93">
        <v>28.0</v>
      </c>
      <c r="K39" s="93">
        <v>0.0</v>
      </c>
      <c r="L39" s="93">
        <v>0.0</v>
      </c>
      <c r="M39" s="93">
        <v>0.0</v>
      </c>
      <c r="N39" s="93">
        <v>0.0</v>
      </c>
      <c r="O39" s="94">
        <f t="shared" si="21"/>
      </c>
      <c r="P39" s="94">
        <f>O39-$D$11</f>
      </c>
    </row>
    <row r="40">
      <c r="A40" s="96"/>
      <c r="B40" s="92" t="s">
        <v>56</v>
      </c>
      <c r="C40" s="97">
        <f t="shared" ref="C40:N40" si="22">$J$11/12</f>
      </c>
      <c r="D40" s="97">
        <f t="shared" si="22"/>
      </c>
      <c r="E40" s="97">
        <f t="shared" si="22"/>
      </c>
      <c r="F40" s="97">
        <f t="shared" si="22"/>
      </c>
      <c r="G40" s="97">
        <f t="shared" si="22"/>
      </c>
      <c r="H40" s="97">
        <f t="shared" si="22"/>
      </c>
      <c r="I40" s="97">
        <f t="shared" si="22"/>
      </c>
      <c r="J40" s="97">
        <f t="shared" si="22"/>
      </c>
      <c r="K40" s="97">
        <f t="shared" si="22"/>
      </c>
      <c r="L40" s="97">
        <f t="shared" si="22"/>
      </c>
      <c r="M40" s="97">
        <f t="shared" si="22"/>
      </c>
      <c r="N40" s="97">
        <f t="shared" si="22"/>
      </c>
      <c r="O40" s="98">
        <f t="shared" si="21"/>
      </c>
      <c r="P40" s="98">
        <f>O40-$J$11</f>
      </c>
    </row>
    <row r="41">
      <c r="A41" s="96"/>
      <c r="B41" s="30" t="s">
        <v>57</v>
      </c>
      <c r="C41" s="99">
        <f t="shared" ref="C41:N41" si="23">$K$11/12</f>
      </c>
      <c r="D41" s="99">
        <f t="shared" si="23"/>
      </c>
      <c r="E41" s="99">
        <f t="shared" si="23"/>
      </c>
      <c r="F41" s="99">
        <f t="shared" si="23"/>
      </c>
      <c r="G41" s="99">
        <f t="shared" si="23"/>
      </c>
      <c r="H41" s="99">
        <f t="shared" si="23"/>
      </c>
      <c r="I41" s="99">
        <f t="shared" si="23"/>
      </c>
      <c r="J41" s="99">
        <f t="shared" si="23"/>
      </c>
      <c r="K41" s="99">
        <f t="shared" si="23"/>
      </c>
      <c r="L41" s="99">
        <f t="shared" si="23"/>
      </c>
      <c r="M41" s="99">
        <f t="shared" si="23"/>
      </c>
      <c r="N41" s="99">
        <f t="shared" si="23"/>
      </c>
      <c r="O41" s="100">
        <f t="shared" si="21"/>
      </c>
      <c r="P41" s="100">
        <f>O41-$K$11</f>
      </c>
    </row>
    <row r="43">
      <c r="A43" s="90" t="s">
        <v>13</v>
      </c>
      <c r="B43" s="15" t="s">
        <v>87</v>
      </c>
      <c r="C43" s="15">
        <f t="shared" ref="C43:N43" si="24">MONTH(EDATE($A$7,COLUMN()-3))&amp;"月"</f>
      </c>
      <c r="D43" s="15">
        <f t="shared" si="24"/>
      </c>
      <c r="E43" s="15">
        <f t="shared" si="24"/>
      </c>
      <c r="F43" s="15">
        <f t="shared" si="24"/>
      </c>
      <c r="G43" s="15">
        <f t="shared" si="24"/>
      </c>
      <c r="H43" s="15">
        <f t="shared" si="24"/>
      </c>
      <c r="I43" s="15">
        <f t="shared" si="24"/>
      </c>
      <c r="J43" s="15">
        <f t="shared" si="24"/>
      </c>
      <c r="K43" s="15">
        <f t="shared" si="24"/>
      </c>
      <c r="L43" s="15">
        <f t="shared" si="24"/>
      </c>
      <c r="M43" s="15">
        <f t="shared" si="24"/>
      </c>
      <c r="N43" s="15">
        <f t="shared" si="24"/>
      </c>
      <c r="O43" s="15" t="s">
        <v>69</v>
      </c>
      <c r="P43" s="15" t="s">
        <v>149</v>
      </c>
    </row>
    <row r="44">
      <c r="A44" s="91" t="s">
        <v>87</v>
      </c>
      <c r="B44" s="92" t="s">
        <v>34</v>
      </c>
      <c r="C44" s="93">
        <v>0.0</v>
      </c>
      <c r="D44" s="93">
        <v>13.0</v>
      </c>
      <c r="E44" s="93">
        <v>0.0</v>
      </c>
      <c r="F44" s="93">
        <v>13.0</v>
      </c>
      <c r="G44" s="93">
        <v>0.0</v>
      </c>
      <c r="H44" s="93">
        <v>13.0</v>
      </c>
      <c r="I44" s="93">
        <v>0.0</v>
      </c>
      <c r="J44" s="93">
        <v>13.0</v>
      </c>
      <c r="K44" s="93">
        <v>0.0</v>
      </c>
      <c r="L44" s="93">
        <v>14.0</v>
      </c>
      <c r="M44" s="93">
        <v>0.0</v>
      </c>
      <c r="N44" s="93">
        <v>14.0</v>
      </c>
      <c r="O44" s="94">
        <f t="shared" ref="O44:O47" si="25">SUM(C44:N44)</f>
      </c>
      <c r="P44" s="94">
        <f>O44-$B$12</f>
      </c>
    </row>
    <row r="45">
      <c r="A45" s="96"/>
      <c r="B45" s="92" t="s">
        <v>37</v>
      </c>
      <c r="C45" s="93">
        <v>0.0</v>
      </c>
      <c r="D45" s="93">
        <v>8.0</v>
      </c>
      <c r="E45" s="93">
        <v>0.0</v>
      </c>
      <c r="F45" s="93">
        <v>8.0</v>
      </c>
      <c r="G45" s="93">
        <v>0.0</v>
      </c>
      <c r="H45" s="93">
        <v>8.0</v>
      </c>
      <c r="I45" s="93">
        <v>0.0</v>
      </c>
      <c r="J45" s="93">
        <v>8.0</v>
      </c>
      <c r="K45" s="93">
        <v>0.0</v>
      </c>
      <c r="L45" s="93">
        <v>9.0</v>
      </c>
      <c r="M45" s="93">
        <v>0.0</v>
      </c>
      <c r="N45" s="93">
        <v>9.0</v>
      </c>
      <c r="O45" s="94">
        <f t="shared" si="25"/>
      </c>
      <c r="P45" s="94">
        <f>O45-$D$12</f>
      </c>
    </row>
    <row r="46">
      <c r="A46" s="96"/>
      <c r="B46" s="92" t="s">
        <v>56</v>
      </c>
      <c r="C46" s="97">
        <f t="shared" ref="C46:N46" si="26">$J$12/12</f>
      </c>
      <c r="D46" s="97">
        <f t="shared" si="26"/>
      </c>
      <c r="E46" s="97">
        <f t="shared" si="26"/>
      </c>
      <c r="F46" s="97">
        <f t="shared" si="26"/>
      </c>
      <c r="G46" s="97">
        <f t="shared" si="26"/>
      </c>
      <c r="H46" s="97">
        <f t="shared" si="26"/>
      </c>
      <c r="I46" s="97">
        <f t="shared" si="26"/>
      </c>
      <c r="J46" s="97">
        <f t="shared" si="26"/>
      </c>
      <c r="K46" s="97">
        <f t="shared" si="26"/>
      </c>
      <c r="L46" s="97">
        <f t="shared" si="26"/>
      </c>
      <c r="M46" s="97">
        <f t="shared" si="26"/>
      </c>
      <c r="N46" s="97">
        <f t="shared" si="26"/>
      </c>
      <c r="O46" s="98">
        <f t="shared" si="25"/>
      </c>
      <c r="P46" s="98">
        <f>O46-$J$12</f>
      </c>
    </row>
    <row r="47">
      <c r="A47" s="96"/>
      <c r="B47" s="30" t="s">
        <v>57</v>
      </c>
      <c r="C47" s="99">
        <f t="shared" ref="C47:N47" si="27">$K$12/12</f>
      </c>
      <c r="D47" s="99">
        <f t="shared" si="27"/>
      </c>
      <c r="E47" s="99">
        <f t="shared" si="27"/>
      </c>
      <c r="F47" s="99">
        <f t="shared" si="27"/>
      </c>
      <c r="G47" s="99">
        <f t="shared" si="27"/>
      </c>
      <c r="H47" s="99">
        <f t="shared" si="27"/>
      </c>
      <c r="I47" s="99">
        <f t="shared" si="27"/>
      </c>
      <c r="J47" s="99">
        <f t="shared" si="27"/>
      </c>
      <c r="K47" s="99">
        <f t="shared" si="27"/>
      </c>
      <c r="L47" s="99">
        <f t="shared" si="27"/>
      </c>
      <c r="M47" s="99">
        <f t="shared" si="27"/>
      </c>
      <c r="N47" s="99">
        <f t="shared" si="27"/>
      </c>
      <c r="O47" s="100">
        <f t="shared" si="25"/>
      </c>
      <c r="P47" s="100">
        <f>O47-$K$12</f>
      </c>
    </row>
    <row r="49">
      <c r="A49" s="90" t="s">
        <v>13</v>
      </c>
      <c r="B49" s="15" t="s">
        <v>66</v>
      </c>
      <c r="C49" s="15">
        <f t="shared" ref="C49:N49" si="28">MONTH(EDATE($A$7,COLUMN()-3))&amp;"月"</f>
      </c>
      <c r="D49" s="15">
        <f t="shared" si="28"/>
      </c>
      <c r="E49" s="15">
        <f t="shared" si="28"/>
      </c>
      <c r="F49" s="15">
        <f t="shared" si="28"/>
      </c>
      <c r="G49" s="15">
        <f t="shared" si="28"/>
      </c>
      <c r="H49" s="15">
        <f t="shared" si="28"/>
      </c>
      <c r="I49" s="15">
        <f t="shared" si="28"/>
      </c>
      <c r="J49" s="15">
        <f t="shared" si="28"/>
      </c>
      <c r="K49" s="15">
        <f t="shared" si="28"/>
      </c>
      <c r="L49" s="15">
        <f t="shared" si="28"/>
      </c>
      <c r="M49" s="15">
        <f t="shared" si="28"/>
      </c>
      <c r="N49" s="15">
        <f t="shared" si="28"/>
      </c>
      <c r="O49" s="15" t="s">
        <v>69</v>
      </c>
      <c r="P49" s="15" t="s">
        <v>149</v>
      </c>
    </row>
    <row r="50">
      <c r="A50" s="91" t="s">
        <v>66</v>
      </c>
      <c r="B50" s="92" t="s">
        <v>34</v>
      </c>
      <c r="C50" s="93">
        <v>5.0</v>
      </c>
      <c r="D50" s="93">
        <v>9.0</v>
      </c>
      <c r="E50" s="93">
        <v>9.0</v>
      </c>
      <c r="F50" s="93">
        <v>9.0</v>
      </c>
      <c r="G50" s="93">
        <v>9.0</v>
      </c>
      <c r="H50" s="93">
        <v>9.0</v>
      </c>
      <c r="I50" s="93">
        <v>9.0</v>
      </c>
      <c r="J50" s="93">
        <v>9.0</v>
      </c>
      <c r="K50" s="93">
        <v>10.0</v>
      </c>
      <c r="L50" s="93">
        <v>6.0</v>
      </c>
      <c r="M50" s="93">
        <v>6.0</v>
      </c>
      <c r="N50" s="93">
        <v>5.0</v>
      </c>
      <c r="O50" s="94">
        <f t="shared" ref="O50:O53" si="29">SUM(C50:N50)</f>
      </c>
      <c r="P50" s="94">
        <f>O50-$B$13</f>
      </c>
    </row>
    <row r="51">
      <c r="A51" s="96"/>
      <c r="B51" s="92" t="s">
        <v>37</v>
      </c>
      <c r="C51" s="93">
        <v>2.0</v>
      </c>
      <c r="D51" s="93">
        <v>4.0</v>
      </c>
      <c r="E51" s="93">
        <v>4.0</v>
      </c>
      <c r="F51" s="93">
        <v>4.0</v>
      </c>
      <c r="G51" s="93">
        <v>4.0</v>
      </c>
      <c r="H51" s="93">
        <v>4.0</v>
      </c>
      <c r="I51" s="93">
        <v>4.0</v>
      </c>
      <c r="J51" s="93">
        <v>4.0</v>
      </c>
      <c r="K51" s="93">
        <v>5.0</v>
      </c>
      <c r="L51" s="93">
        <v>3.0</v>
      </c>
      <c r="M51" s="93">
        <v>3.0</v>
      </c>
      <c r="N51" s="93">
        <v>2.0</v>
      </c>
      <c r="O51" s="94">
        <f t="shared" si="29"/>
      </c>
      <c r="P51" s="94">
        <f>O51-$D$13</f>
      </c>
    </row>
    <row r="52">
      <c r="A52" s="96"/>
      <c r="B52" s="92" t="s">
        <v>56</v>
      </c>
      <c r="C52" s="97">
        <f t="shared" ref="C52:N52" si="30">$J$13/12</f>
      </c>
      <c r="D52" s="97">
        <f t="shared" si="30"/>
      </c>
      <c r="E52" s="97">
        <f t="shared" si="30"/>
      </c>
      <c r="F52" s="97">
        <f t="shared" si="30"/>
      </c>
      <c r="G52" s="97">
        <f t="shared" si="30"/>
      </c>
      <c r="H52" s="97">
        <f t="shared" si="30"/>
      </c>
      <c r="I52" s="97">
        <f t="shared" si="30"/>
      </c>
      <c r="J52" s="97">
        <f t="shared" si="30"/>
      </c>
      <c r="K52" s="97">
        <f t="shared" si="30"/>
      </c>
      <c r="L52" s="97">
        <f t="shared" si="30"/>
      </c>
      <c r="M52" s="97">
        <f t="shared" si="30"/>
      </c>
      <c r="N52" s="97">
        <f t="shared" si="30"/>
      </c>
      <c r="O52" s="98">
        <f t="shared" si="29"/>
      </c>
      <c r="P52" s="98">
        <f>O52-$J$13</f>
      </c>
    </row>
    <row r="53">
      <c r="A53" s="96"/>
      <c r="B53" s="30" t="s">
        <v>57</v>
      </c>
      <c r="C53" s="99">
        <f t="shared" ref="C53:N53" si="31">$K$13/12</f>
      </c>
      <c r="D53" s="99">
        <f t="shared" si="31"/>
      </c>
      <c r="E53" s="99">
        <f t="shared" si="31"/>
      </c>
      <c r="F53" s="99">
        <f t="shared" si="31"/>
      </c>
      <c r="G53" s="99">
        <f t="shared" si="31"/>
      </c>
      <c r="H53" s="99">
        <f t="shared" si="31"/>
      </c>
      <c r="I53" s="99">
        <f t="shared" si="31"/>
      </c>
      <c r="J53" s="99">
        <f t="shared" si="31"/>
      </c>
      <c r="K53" s="99">
        <f t="shared" si="31"/>
      </c>
      <c r="L53" s="99">
        <f t="shared" si="31"/>
      </c>
      <c r="M53" s="99">
        <f t="shared" si="31"/>
      </c>
      <c r="N53" s="99">
        <f t="shared" si="31"/>
      </c>
      <c r="O53" s="100">
        <f t="shared" si="29"/>
      </c>
      <c r="P53" s="100">
        <f>O53-$K$13</f>
      </c>
    </row>
    <row r="55">
      <c r="A55" s="90" t="s">
        <v>13</v>
      </c>
      <c r="B55" s="15" t="s">
        <v>46</v>
      </c>
      <c r="C55" s="15">
        <f t="shared" ref="C55:N55" si="32">MONTH(EDATE($A$7,COLUMN()-3))&amp;"月"</f>
      </c>
      <c r="D55" s="15">
        <f t="shared" si="32"/>
      </c>
      <c r="E55" s="15">
        <f t="shared" si="32"/>
      </c>
      <c r="F55" s="15">
        <f t="shared" si="32"/>
      </c>
      <c r="G55" s="15">
        <f t="shared" si="32"/>
      </c>
      <c r="H55" s="15">
        <f t="shared" si="32"/>
      </c>
      <c r="I55" s="15">
        <f t="shared" si="32"/>
      </c>
      <c r="J55" s="15">
        <f t="shared" si="32"/>
      </c>
      <c r="K55" s="15">
        <f t="shared" si="32"/>
      </c>
      <c r="L55" s="15">
        <f t="shared" si="32"/>
      </c>
      <c r="M55" s="15">
        <f t="shared" si="32"/>
      </c>
      <c r="N55" s="15">
        <f t="shared" si="32"/>
      </c>
      <c r="O55" s="15" t="s">
        <v>69</v>
      </c>
      <c r="P55" s="15" t="s">
        <v>149</v>
      </c>
    </row>
    <row r="56">
      <c r="A56" s="91" t="s">
        <v>46</v>
      </c>
      <c r="B56" s="92" t="s">
        <v>34</v>
      </c>
      <c r="C56" s="93">
        <v>6.0</v>
      </c>
      <c r="D56" s="93">
        <v>5.0</v>
      </c>
      <c r="E56" s="93">
        <v>6.0</v>
      </c>
      <c r="F56" s="93">
        <v>5.0</v>
      </c>
      <c r="G56" s="93">
        <v>6.0</v>
      </c>
      <c r="H56" s="93">
        <v>10.0</v>
      </c>
      <c r="I56" s="93">
        <v>10.0</v>
      </c>
      <c r="J56" s="93">
        <v>8.0</v>
      </c>
      <c r="K56" s="93">
        <v>7.0</v>
      </c>
      <c r="L56" s="93">
        <v>8.0</v>
      </c>
      <c r="M56" s="93">
        <v>10.0</v>
      </c>
      <c r="N56" s="93">
        <v>9.0</v>
      </c>
      <c r="O56" s="94">
        <f t="shared" ref="O56:O59" si="33">SUM(C56:N56)</f>
      </c>
      <c r="P56" s="94">
        <f>O56-$B$14</f>
      </c>
    </row>
    <row r="57">
      <c r="A57" s="96"/>
      <c r="B57" s="92" t="s">
        <v>37</v>
      </c>
      <c r="C57" s="93">
        <v>2.0</v>
      </c>
      <c r="D57" s="93">
        <v>2.0</v>
      </c>
      <c r="E57" s="93">
        <v>2.0</v>
      </c>
      <c r="F57" s="93">
        <v>2.0</v>
      </c>
      <c r="G57" s="93">
        <v>2.0</v>
      </c>
      <c r="H57" s="93">
        <v>4.0</v>
      </c>
      <c r="I57" s="93">
        <v>4.0</v>
      </c>
      <c r="J57" s="93">
        <v>3.0</v>
      </c>
      <c r="K57" s="93">
        <v>3.0</v>
      </c>
      <c r="L57" s="93">
        <v>3.0</v>
      </c>
      <c r="M57" s="93">
        <v>4.0</v>
      </c>
      <c r="N57" s="93">
        <v>3.0</v>
      </c>
      <c r="O57" s="94">
        <f t="shared" si="33"/>
      </c>
      <c r="P57" s="94">
        <f>O57-$D$14</f>
      </c>
    </row>
    <row r="58">
      <c r="A58" s="96"/>
      <c r="B58" s="92" t="s">
        <v>56</v>
      </c>
      <c r="C58" s="97">
        <f t="shared" ref="C58:N58" si="34">$J$14/12</f>
      </c>
      <c r="D58" s="97">
        <f t="shared" si="34"/>
      </c>
      <c r="E58" s="97">
        <f t="shared" si="34"/>
      </c>
      <c r="F58" s="97">
        <f t="shared" si="34"/>
      </c>
      <c r="G58" s="97">
        <f t="shared" si="34"/>
      </c>
      <c r="H58" s="97">
        <f t="shared" si="34"/>
      </c>
      <c r="I58" s="97">
        <f t="shared" si="34"/>
      </c>
      <c r="J58" s="97">
        <f t="shared" si="34"/>
      </c>
      <c r="K58" s="97">
        <f t="shared" si="34"/>
      </c>
      <c r="L58" s="97">
        <f t="shared" si="34"/>
      </c>
      <c r="M58" s="97">
        <f t="shared" si="34"/>
      </c>
      <c r="N58" s="97">
        <f t="shared" si="34"/>
      </c>
      <c r="O58" s="98">
        <f t="shared" si="33"/>
      </c>
      <c r="P58" s="98">
        <f>O58-$J$14</f>
      </c>
    </row>
    <row r="59">
      <c r="A59" s="96"/>
      <c r="B59" s="30" t="s">
        <v>57</v>
      </c>
      <c r="C59" s="99">
        <f t="shared" ref="C59:N59" si="35">$K$14/12</f>
      </c>
      <c r="D59" s="99">
        <f t="shared" si="35"/>
      </c>
      <c r="E59" s="99">
        <f t="shared" si="35"/>
      </c>
      <c r="F59" s="99">
        <f t="shared" si="35"/>
      </c>
      <c r="G59" s="99">
        <f t="shared" si="35"/>
      </c>
      <c r="H59" s="99">
        <f t="shared" si="35"/>
      </c>
      <c r="I59" s="99">
        <f t="shared" si="35"/>
      </c>
      <c r="J59" s="99">
        <f t="shared" si="35"/>
      </c>
      <c r="K59" s="99">
        <f t="shared" si="35"/>
      </c>
      <c r="L59" s="99">
        <f t="shared" si="35"/>
      </c>
      <c r="M59" s="99">
        <f t="shared" si="35"/>
      </c>
      <c r="N59" s="99">
        <f t="shared" si="35"/>
      </c>
      <c r="O59" s="100">
        <f t="shared" si="33"/>
      </c>
      <c r="P59" s="100">
        <f>O59-$K$14</f>
      </c>
    </row>
    <row r="61">
      <c r="A61" s="90" t="s">
        <v>13</v>
      </c>
      <c r="B61" s="15" t="s">
        <v>99</v>
      </c>
      <c r="C61" s="15">
        <f t="shared" ref="C61:N61" si="36">MONTH(EDATE($A$7,COLUMN()-3))&amp;"月"</f>
      </c>
      <c r="D61" s="15">
        <f t="shared" si="36"/>
      </c>
      <c r="E61" s="15">
        <f t="shared" si="36"/>
      </c>
      <c r="F61" s="15">
        <f t="shared" si="36"/>
      </c>
      <c r="G61" s="15">
        <f t="shared" si="36"/>
      </c>
      <c r="H61" s="15">
        <f t="shared" si="36"/>
      </c>
      <c r="I61" s="15">
        <f t="shared" si="36"/>
      </c>
      <c r="J61" s="15">
        <f t="shared" si="36"/>
      </c>
      <c r="K61" s="15">
        <f t="shared" si="36"/>
      </c>
      <c r="L61" s="15">
        <f t="shared" si="36"/>
      </c>
      <c r="M61" s="15">
        <f t="shared" si="36"/>
      </c>
      <c r="N61" s="15">
        <f t="shared" si="36"/>
      </c>
      <c r="O61" s="15" t="s">
        <v>69</v>
      </c>
      <c r="P61" s="15" t="s">
        <v>149</v>
      </c>
    </row>
    <row r="62">
      <c r="A62" s="91" t="s">
        <v>99</v>
      </c>
      <c r="B62" s="92" t="s">
        <v>34</v>
      </c>
      <c r="C62" s="93">
        <v>1.0</v>
      </c>
      <c r="D62" s="93">
        <v>1.0</v>
      </c>
      <c r="E62" s="93">
        <v>1.0</v>
      </c>
      <c r="F62" s="93">
        <v>1.0</v>
      </c>
      <c r="G62" s="93">
        <v>1.0</v>
      </c>
      <c r="H62" s="93">
        <v>1.0</v>
      </c>
      <c r="I62" s="93">
        <v>1.0</v>
      </c>
      <c r="J62" s="93">
        <v>1.0</v>
      </c>
      <c r="K62" s="93">
        <v>1.0</v>
      </c>
      <c r="L62" s="93">
        <v>1.0</v>
      </c>
      <c r="M62" s="93">
        <v>1.0</v>
      </c>
      <c r="N62" s="93">
        <v>1.0</v>
      </c>
      <c r="O62" s="94">
        <f t="shared" ref="O62:O65" si="37">SUM(C62:N62)</f>
      </c>
      <c r="P62" s="94">
        <f>O62-$B$15</f>
      </c>
    </row>
    <row r="63">
      <c r="A63" s="96"/>
      <c r="B63" s="92" t="s">
        <v>37</v>
      </c>
      <c r="C63" s="93">
        <v>0.0</v>
      </c>
      <c r="D63" s="93">
        <v>1.0</v>
      </c>
      <c r="E63" s="93">
        <v>0.0</v>
      </c>
      <c r="F63" s="93">
        <v>1.0</v>
      </c>
      <c r="G63" s="93">
        <v>0.0</v>
      </c>
      <c r="H63" s="93">
        <v>1.0</v>
      </c>
      <c r="I63" s="93">
        <v>0.0</v>
      </c>
      <c r="J63" s="93">
        <v>1.0</v>
      </c>
      <c r="K63" s="93">
        <v>0.0</v>
      </c>
      <c r="L63" s="93">
        <v>1.0</v>
      </c>
      <c r="M63" s="93">
        <v>0.0</v>
      </c>
      <c r="N63" s="93">
        <v>0.0</v>
      </c>
      <c r="O63" s="94">
        <f t="shared" si="37"/>
      </c>
      <c r="P63" s="94">
        <f>O63-$D$15</f>
      </c>
    </row>
    <row r="64">
      <c r="A64" s="96"/>
      <c r="B64" s="92" t="s">
        <v>56</v>
      </c>
      <c r="C64" s="97">
        <f t="shared" ref="C64:N64" si="38">$J$15/12</f>
      </c>
      <c r="D64" s="97">
        <f t="shared" si="38"/>
      </c>
      <c r="E64" s="97">
        <f t="shared" si="38"/>
      </c>
      <c r="F64" s="97">
        <f t="shared" si="38"/>
      </c>
      <c r="G64" s="97">
        <f t="shared" si="38"/>
      </c>
      <c r="H64" s="97">
        <f t="shared" si="38"/>
      </c>
      <c r="I64" s="97">
        <f t="shared" si="38"/>
      </c>
      <c r="J64" s="97">
        <f t="shared" si="38"/>
      </c>
      <c r="K64" s="97">
        <f t="shared" si="38"/>
      </c>
      <c r="L64" s="97">
        <f t="shared" si="38"/>
      </c>
      <c r="M64" s="97">
        <f t="shared" si="38"/>
      </c>
      <c r="N64" s="97">
        <f t="shared" si="38"/>
      </c>
      <c r="O64" s="98">
        <f t="shared" si="37"/>
      </c>
      <c r="P64" s="98">
        <f>O64-$J$15</f>
      </c>
    </row>
    <row r="65">
      <c r="A65" s="96"/>
      <c r="B65" s="30" t="s">
        <v>57</v>
      </c>
      <c r="C65" s="99">
        <f t="shared" ref="C65:N65" si="39">$K$15/12</f>
      </c>
      <c r="D65" s="99">
        <f t="shared" si="39"/>
      </c>
      <c r="E65" s="99">
        <f t="shared" si="39"/>
      </c>
      <c r="F65" s="99">
        <f t="shared" si="39"/>
      </c>
      <c r="G65" s="99">
        <f t="shared" si="39"/>
      </c>
      <c r="H65" s="99">
        <f t="shared" si="39"/>
      </c>
      <c r="I65" s="99">
        <f t="shared" si="39"/>
      </c>
      <c r="J65" s="99">
        <f t="shared" si="39"/>
      </c>
      <c r="K65" s="99">
        <f t="shared" si="39"/>
      </c>
      <c r="L65" s="99">
        <f t="shared" si="39"/>
      </c>
      <c r="M65" s="99">
        <f t="shared" si="39"/>
      </c>
      <c r="N65" s="99">
        <f t="shared" si="39"/>
      </c>
      <c r="O65" s="100">
        <f t="shared" si="37"/>
      </c>
      <c r="P65" s="100">
        <f>O65-$K$15</f>
      </c>
    </row>
    <row r="66">
      <c r="B66" s="30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4"/>
      <c r="P66" s="104"/>
    </row>
    <row r="67">
      <c r="A67" s="90" t="s">
        <v>13</v>
      </c>
      <c r="B67" s="15" t="s">
        <v>62</v>
      </c>
      <c r="C67" s="15">
        <f t="shared" ref="C67:N67" si="40">MONTH(EDATE($A$7,COLUMN()-3))&amp;"月"</f>
      </c>
      <c r="D67" s="15">
        <f t="shared" si="40"/>
      </c>
      <c r="E67" s="15">
        <f t="shared" si="40"/>
      </c>
      <c r="F67" s="15">
        <f t="shared" si="40"/>
      </c>
      <c r="G67" s="15">
        <f t="shared" si="40"/>
      </c>
      <c r="H67" s="15">
        <f t="shared" si="40"/>
      </c>
      <c r="I67" s="15">
        <f t="shared" si="40"/>
      </c>
      <c r="J67" s="15">
        <f t="shared" si="40"/>
      </c>
      <c r="K67" s="15">
        <f t="shared" si="40"/>
      </c>
      <c r="L67" s="15">
        <f t="shared" si="40"/>
      </c>
      <c r="M67" s="15">
        <f t="shared" si="40"/>
      </c>
      <c r="N67" s="15">
        <f t="shared" si="40"/>
      </c>
      <c r="O67" s="15" t="s">
        <v>69</v>
      </c>
      <c r="P67" s="15" t="s">
        <v>149</v>
      </c>
    </row>
    <row r="68">
      <c r="A68" s="91" t="s">
        <v>62</v>
      </c>
      <c r="B68" s="92" t="s">
        <v>34</v>
      </c>
      <c r="C68" s="93">
        <v>1.0</v>
      </c>
      <c r="D68" s="93">
        <v>2.0</v>
      </c>
      <c r="E68" s="93">
        <v>1.0</v>
      </c>
      <c r="F68" s="93">
        <v>2.0</v>
      </c>
      <c r="G68" s="93">
        <v>1.0</v>
      </c>
      <c r="H68" s="93">
        <v>2.0</v>
      </c>
      <c r="I68" s="93">
        <v>2.0</v>
      </c>
      <c r="J68" s="93">
        <v>2.0</v>
      </c>
      <c r="K68" s="93">
        <v>2.0</v>
      </c>
      <c r="L68" s="93">
        <v>1.0</v>
      </c>
      <c r="M68" s="93">
        <v>2.0</v>
      </c>
      <c r="N68" s="93">
        <v>2.0</v>
      </c>
      <c r="O68" s="94">
        <f t="shared" ref="O68:O71" si="41">SUM(C68:N68)</f>
      </c>
      <c r="P68" s="94">
        <f>O68-$B$16</f>
      </c>
    </row>
    <row r="69">
      <c r="A69" s="96"/>
      <c r="B69" s="92" t="s">
        <v>37</v>
      </c>
      <c r="C69" s="93">
        <v>0.0</v>
      </c>
      <c r="D69" s="93">
        <v>1.0</v>
      </c>
      <c r="E69" s="93">
        <v>0.0</v>
      </c>
      <c r="F69" s="93">
        <v>1.0</v>
      </c>
      <c r="G69" s="93">
        <v>0.0</v>
      </c>
      <c r="H69" s="93">
        <v>1.0</v>
      </c>
      <c r="I69" s="93">
        <v>1.0</v>
      </c>
      <c r="J69" s="93">
        <v>1.0</v>
      </c>
      <c r="K69" s="93">
        <v>1.0</v>
      </c>
      <c r="L69" s="93">
        <v>0.0</v>
      </c>
      <c r="M69" s="93">
        <v>1.0</v>
      </c>
      <c r="N69" s="93">
        <v>1.0</v>
      </c>
      <c r="O69" s="94">
        <f t="shared" si="41"/>
      </c>
      <c r="P69" s="94">
        <f>O69-$D$16</f>
      </c>
    </row>
    <row r="70">
      <c r="A70" s="96"/>
      <c r="B70" s="92" t="s">
        <v>56</v>
      </c>
      <c r="C70" s="97">
        <f t="shared" ref="C70:N70" si="42">$J$16/12</f>
      </c>
      <c r="D70" s="97">
        <f t="shared" si="42"/>
      </c>
      <c r="E70" s="97">
        <f t="shared" si="42"/>
      </c>
      <c r="F70" s="97">
        <f t="shared" si="42"/>
      </c>
      <c r="G70" s="97">
        <f t="shared" si="42"/>
      </c>
      <c r="H70" s="97">
        <f t="shared" si="42"/>
      </c>
      <c r="I70" s="97">
        <f t="shared" si="42"/>
      </c>
      <c r="J70" s="97">
        <f t="shared" si="42"/>
      </c>
      <c r="K70" s="97">
        <f t="shared" si="42"/>
      </c>
      <c r="L70" s="97">
        <f t="shared" si="42"/>
      </c>
      <c r="M70" s="97">
        <f t="shared" si="42"/>
      </c>
      <c r="N70" s="97">
        <f t="shared" si="42"/>
      </c>
      <c r="O70" s="98">
        <f t="shared" si="41"/>
      </c>
      <c r="P70" s="98">
        <f>O70-$J$16</f>
      </c>
    </row>
    <row r="71">
      <c r="A71" s="96"/>
      <c r="B71" s="30" t="s">
        <v>57</v>
      </c>
      <c r="C71" s="99">
        <f t="shared" ref="C71:N71" si="43">$K$16/12</f>
      </c>
      <c r="D71" s="99">
        <f t="shared" si="43"/>
      </c>
      <c r="E71" s="99">
        <f t="shared" si="43"/>
      </c>
      <c r="F71" s="99">
        <f t="shared" si="43"/>
      </c>
      <c r="G71" s="99">
        <f t="shared" si="43"/>
      </c>
      <c r="H71" s="99">
        <f t="shared" si="43"/>
      </c>
      <c r="I71" s="99">
        <f t="shared" si="43"/>
      </c>
      <c r="J71" s="99">
        <f t="shared" si="43"/>
      </c>
      <c r="K71" s="99">
        <f t="shared" si="43"/>
      </c>
      <c r="L71" s="99">
        <f t="shared" si="43"/>
      </c>
      <c r="M71" s="99">
        <f t="shared" si="43"/>
      </c>
      <c r="N71" s="99">
        <f t="shared" si="43"/>
      </c>
      <c r="O71" s="100">
        <f t="shared" si="41"/>
      </c>
      <c r="P71" s="100">
        <f>O71-$K$16</f>
      </c>
    </row>
  </sheetData>
  <mergeCells count="10">
    <mergeCell ref="A56:A59"/>
    <mergeCell ref="A62:A65"/>
    <mergeCell ref="A68:A71"/>
    <mergeCell ref="A30:B30"/>
    <mergeCell ref="A31:B31"/>
    <mergeCell ref="A32:B32"/>
    <mergeCell ref="A33:B33"/>
    <mergeCell ref="A38:A41"/>
    <mergeCell ref="A44:A47"/>
    <mergeCell ref="A50:A53"/>
  </mergeCells>
  <conditionalFormatting sqref="O11:O17 B24:I24">
    <cfRule type="expression" dxfId="0" priority="1" stopIfTrue="1">
      <formula>OR(O11="直す",O11="上限超え")</formula>
    </cfRule>
  </conditionalFormatting>
  <conditionalFormatting sqref="P31:P33 P38:P41 P44:P47 P50:P53 P56:P59 P62:P65 P68:P71">
    <cfRule type="expression" dxfId="1" priority="2" stopIfTrue="1">
      <formula>AND(P31&lt;&gt;"",ROUND(P31,1)&lt;&gt;0)</formula>
    </cfRule>
  </conditionalFormatting>
  <conditionalFormatting sqref="C40:N41 C46:N47 C52:N53 C58:N59 C64:N65 C70:N71">
    <cfRule type="expression" dxfId="2" priority="3" stopIfTrue="1">
      <formula>ISFORMULA(C40)</formula>
    </cfRule>
  </conditionalFormatting>
  <conditionalFormatting sqref="O11:O17 B24:I24">
    <cfRule type="expression" dxfId="0" priority="4" stopIfTrue="1">
      <formula>OR(O11="直す",O11="上限超え")</formula>
    </cfRule>
  </conditionalFormatting>
  <conditionalFormatting sqref="P31:P33 P38:P41 P44:P47 P50:P53 P56:P59 P62:P65 P68:P71">
    <cfRule type="expression" dxfId="3" priority="5" stopIfTrue="1">
      <formula>AND(P31&lt;&gt;"",ROUND(P31,1)&lt;&gt;0)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14" width="8.43"/>
    <col customWidth="1" min="15" max="15" width="10.14"/>
  </cols>
  <sheetData>
    <row r="1">
      <c r="A1" s="1" t="s">
        <v>0</v>
      </c>
      <c r="B1" s="2"/>
      <c r="C1" s="2"/>
      <c r="D1" s="3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6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6"/>
    </row>
    <row r="3">
      <c r="A3" s="5" t="s">
        <v>10</v>
      </c>
      <c r="P3" s="6"/>
    </row>
    <row r="4">
      <c r="A4" s="10"/>
      <c r="B4" s="14" t="s">
        <v>22</v>
      </c>
      <c r="C4" s="22">
        <f>MONTH(EDATE('はじめに入力'!$A$7,0))&amp;"月"</f>
      </c>
      <c r="D4" s="22">
        <f>MONTH(EDATE('はじめに入力'!$A$7,1))&amp;"月"</f>
      </c>
      <c r="E4" s="22">
        <f>MONTH(EDATE('はじめに入力'!$A$7,2))&amp;"月"</f>
      </c>
      <c r="F4" s="22">
        <f>MONTH(EDATE('はじめに入力'!$A$7,3))&amp;"月"</f>
      </c>
      <c r="G4" s="22">
        <f>MONTH(EDATE('はじめに入力'!$A$7,4))&amp;"月"</f>
      </c>
      <c r="H4" s="22">
        <f>MONTH(EDATE('はじめに入力'!$A$7,5))&amp;"月"</f>
      </c>
      <c r="I4" s="22">
        <f>MONTH(EDATE('はじめに入力'!$A$7,6))&amp;"月"</f>
      </c>
      <c r="J4" s="22">
        <f>MONTH(EDATE('はじめに入力'!$A$7,7))&amp;"月"</f>
      </c>
      <c r="K4" s="22">
        <f>MONTH(EDATE('はじめに入力'!$A$7,8))&amp;"月"</f>
      </c>
      <c r="L4" s="22">
        <f>MONTH(EDATE('はじめに入力'!$A$7,9))&amp;"月"</f>
      </c>
      <c r="M4" s="22">
        <f>MONTH(EDATE('はじめに入力'!$A$7,10))&amp;"月"</f>
      </c>
      <c r="N4" s="22">
        <f>MONTH(EDATE('はじめに入力'!$A$7,11))&amp;"月"</f>
      </c>
      <c r="O4" s="23" t="s">
        <v>69</v>
      </c>
      <c r="P4" s="6"/>
    </row>
    <row r="5">
      <c r="A5" s="37"/>
      <c r="B5" s="39" t="s">
        <v>34</v>
      </c>
      <c r="C5" s="32">
        <f t="shared" ref="C5:N5" si="1">C16+C24+C32+C40+C48+C56</f>
      </c>
      <c r="D5" s="32">
        <f t="shared" si="1"/>
      </c>
      <c r="E5" s="32">
        <f t="shared" si="1"/>
      </c>
      <c r="F5" s="32">
        <f t="shared" si="1"/>
      </c>
      <c r="G5" s="32">
        <f t="shared" si="1"/>
      </c>
      <c r="H5" s="32">
        <f t="shared" si="1"/>
      </c>
      <c r="I5" s="32">
        <f t="shared" si="1"/>
      </c>
      <c r="J5" s="32">
        <f t="shared" si="1"/>
      </c>
      <c r="K5" s="32">
        <f t="shared" si="1"/>
      </c>
      <c r="L5" s="32">
        <f t="shared" si="1"/>
      </c>
      <c r="M5" s="32">
        <f t="shared" si="1"/>
      </c>
      <c r="N5" s="32">
        <f t="shared" si="1"/>
      </c>
      <c r="O5" s="32">
        <f t="shared" ref="O5:O10" si="3">SUM(C5:N5)</f>
      </c>
      <c r="P5" s="6"/>
    </row>
    <row r="6">
      <c r="A6" s="37"/>
      <c r="B6" s="39" t="s">
        <v>37</v>
      </c>
      <c r="C6" s="32">
        <f t="shared" ref="C6:N6" si="2">C17+C25+C33+C41+C49+C57</f>
      </c>
      <c r="D6" s="32">
        <f t="shared" si="2"/>
      </c>
      <c r="E6" s="32">
        <f t="shared" si="2"/>
      </c>
      <c r="F6" s="32">
        <f t="shared" si="2"/>
      </c>
      <c r="G6" s="32">
        <f t="shared" si="2"/>
      </c>
      <c r="H6" s="32">
        <f t="shared" si="2"/>
      </c>
      <c r="I6" s="32">
        <f t="shared" si="2"/>
      </c>
      <c r="J6" s="32">
        <f t="shared" si="2"/>
      </c>
      <c r="K6" s="32">
        <f t="shared" si="2"/>
      </c>
      <c r="L6" s="32">
        <f t="shared" si="2"/>
      </c>
      <c r="M6" s="32">
        <f t="shared" si="2"/>
      </c>
      <c r="N6" s="32">
        <f t="shared" si="2"/>
      </c>
      <c r="O6" s="32">
        <f t="shared" si="3"/>
      </c>
      <c r="P6" s="6"/>
    </row>
    <row r="7">
      <c r="A7" s="37"/>
      <c r="B7" s="39" t="s">
        <v>39</v>
      </c>
      <c r="C7" s="32">
        <f t="shared" ref="C7:N7" si="4">C18+C26+C34+C42+C50+C58</f>
      </c>
      <c r="D7" s="32">
        <f t="shared" si="4"/>
      </c>
      <c r="E7" s="32">
        <f t="shared" si="4"/>
      </c>
      <c r="F7" s="32">
        <f t="shared" si="4"/>
      </c>
      <c r="G7" s="32">
        <f t="shared" si="4"/>
      </c>
      <c r="H7" s="32">
        <f t="shared" si="4"/>
      </c>
      <c r="I7" s="32">
        <f t="shared" si="4"/>
      </c>
      <c r="J7" s="32">
        <f t="shared" si="4"/>
      </c>
      <c r="K7" s="32">
        <f t="shared" si="4"/>
      </c>
      <c r="L7" s="32">
        <f t="shared" si="4"/>
      </c>
      <c r="M7" s="32">
        <f t="shared" si="4"/>
      </c>
      <c r="N7" s="32">
        <f t="shared" si="4"/>
      </c>
      <c r="O7" s="32">
        <f t="shared" si="3"/>
      </c>
      <c r="P7" s="6"/>
    </row>
    <row r="8">
      <c r="A8" s="37"/>
      <c r="B8" s="39" t="s">
        <v>41</v>
      </c>
      <c r="C8" s="32">
        <f t="shared" ref="C8:N8" si="5">C19+C27+C35+C43+C51+C59</f>
      </c>
      <c r="D8" s="32">
        <f t="shared" si="5"/>
      </c>
      <c r="E8" s="32">
        <f t="shared" si="5"/>
      </c>
      <c r="F8" s="32">
        <f t="shared" si="5"/>
      </c>
      <c r="G8" s="32">
        <f t="shared" si="5"/>
      </c>
      <c r="H8" s="32">
        <f t="shared" si="5"/>
      </c>
      <c r="I8" s="32">
        <f t="shared" si="5"/>
      </c>
      <c r="J8" s="32">
        <f t="shared" si="5"/>
      </c>
      <c r="K8" s="32">
        <f t="shared" si="5"/>
      </c>
      <c r="L8" s="32">
        <f t="shared" si="5"/>
      </c>
      <c r="M8" s="32">
        <f t="shared" si="5"/>
      </c>
      <c r="N8" s="32">
        <f t="shared" si="5"/>
      </c>
      <c r="O8" s="32">
        <f t="shared" si="3"/>
      </c>
      <c r="P8" s="6"/>
    </row>
    <row r="9">
      <c r="A9" s="37"/>
      <c r="B9" s="39" t="s">
        <v>56</v>
      </c>
      <c r="C9" s="49">
        <f t="shared" ref="C9:N9" si="6">C20+C28+C36+C44+C52+C60</f>
      </c>
      <c r="D9" s="49">
        <f t="shared" si="6"/>
      </c>
      <c r="E9" s="49">
        <f t="shared" si="6"/>
      </c>
      <c r="F9" s="49">
        <f t="shared" si="6"/>
      </c>
      <c r="G9" s="49">
        <f t="shared" si="6"/>
      </c>
      <c r="H9" s="49">
        <f t="shared" si="6"/>
      </c>
      <c r="I9" s="49">
        <f t="shared" si="6"/>
      </c>
      <c r="J9" s="49">
        <f t="shared" si="6"/>
      </c>
      <c r="K9" s="49">
        <f t="shared" si="6"/>
      </c>
      <c r="L9" s="49">
        <f t="shared" si="6"/>
      </c>
      <c r="M9" s="49">
        <f t="shared" si="6"/>
      </c>
      <c r="N9" s="49">
        <f t="shared" si="6"/>
      </c>
      <c r="O9" s="49">
        <f t="shared" si="3"/>
      </c>
      <c r="P9" s="6"/>
    </row>
    <row r="10">
      <c r="A10" s="37"/>
      <c r="B10" s="39" t="s">
        <v>57</v>
      </c>
      <c r="C10" s="49">
        <f t="shared" ref="C10:N10" si="7">C21+C29+C37+C45+C53+C61</f>
      </c>
      <c r="D10" s="49">
        <f t="shared" si="7"/>
      </c>
      <c r="E10" s="49">
        <f t="shared" si="7"/>
      </c>
      <c r="F10" s="49">
        <f t="shared" si="7"/>
      </c>
      <c r="G10" s="49">
        <f t="shared" si="7"/>
      </c>
      <c r="H10" s="49">
        <f t="shared" si="7"/>
      </c>
      <c r="I10" s="49">
        <f t="shared" si="7"/>
      </c>
      <c r="J10" s="49">
        <f t="shared" si="7"/>
      </c>
      <c r="K10" s="49">
        <f t="shared" si="7"/>
      </c>
      <c r="L10" s="49">
        <f t="shared" si="7"/>
      </c>
      <c r="M10" s="49">
        <f t="shared" si="7"/>
      </c>
      <c r="N10" s="49">
        <f t="shared" si="7"/>
      </c>
      <c r="O10" s="49">
        <f t="shared" si="3"/>
      </c>
      <c r="P10" s="6"/>
    </row>
    <row r="11">
      <c r="P11" s="6"/>
    </row>
    <row r="12">
      <c r="A12" s="5" t="s">
        <v>132</v>
      </c>
      <c r="P12" s="6"/>
    </row>
    <row r="13">
      <c r="A13" s="58" t="s">
        <v>133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6"/>
    </row>
    <row r="14">
      <c r="A14" s="58" t="s">
        <v>138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6"/>
    </row>
    <row r="15">
      <c r="A15" s="14" t="s">
        <v>13</v>
      </c>
      <c r="B15" s="14" t="s">
        <v>60</v>
      </c>
      <c r="C15" s="22">
        <f t="shared" ref="C15:N15" si="8">C$4</f>
      </c>
      <c r="D15" s="22">
        <f t="shared" si="8"/>
      </c>
      <c r="E15" s="22">
        <f t="shared" si="8"/>
      </c>
      <c r="F15" s="22">
        <f t="shared" si="8"/>
      </c>
      <c r="G15" s="22">
        <f t="shared" si="8"/>
      </c>
      <c r="H15" s="22">
        <f t="shared" si="8"/>
      </c>
      <c r="I15" s="22">
        <f t="shared" si="8"/>
      </c>
      <c r="J15" s="22">
        <f t="shared" si="8"/>
      </c>
      <c r="K15" s="22">
        <f t="shared" si="8"/>
      </c>
      <c r="L15" s="22">
        <f t="shared" si="8"/>
      </c>
      <c r="M15" s="22">
        <f t="shared" si="8"/>
      </c>
      <c r="N15" s="22">
        <f t="shared" si="8"/>
      </c>
      <c r="O15" s="23" t="s">
        <v>69</v>
      </c>
      <c r="P15" s="8"/>
    </row>
    <row r="16">
      <c r="A16" s="64" t="s">
        <v>60</v>
      </c>
      <c r="B16" s="28" t="s">
        <v>34</v>
      </c>
      <c r="C16" s="66"/>
      <c r="D16" s="66"/>
      <c r="E16" s="66"/>
      <c r="F16" s="66"/>
      <c r="G16" s="66"/>
      <c r="H16" s="66"/>
      <c r="I16" s="66"/>
      <c r="J16" s="67"/>
      <c r="K16" s="67"/>
      <c r="L16" s="67"/>
      <c r="M16" s="67"/>
      <c r="N16" s="67"/>
      <c r="O16" s="32">
        <f t="shared" ref="O16:O21" si="9">SUM(C16:N16)</f>
      </c>
      <c r="P16" s="8"/>
    </row>
    <row r="17">
      <c r="A17" s="68"/>
      <c r="B17" s="28" t="s">
        <v>37</v>
      </c>
      <c r="C17" s="66"/>
      <c r="D17" s="66"/>
      <c r="E17" s="66"/>
      <c r="F17" s="66"/>
      <c r="G17" s="66"/>
      <c r="H17" s="66"/>
      <c r="I17" s="66"/>
      <c r="J17" s="67"/>
      <c r="K17" s="67"/>
      <c r="L17" s="67"/>
      <c r="M17" s="67"/>
      <c r="N17" s="67"/>
      <c r="O17" s="32">
        <f t="shared" si="9"/>
      </c>
      <c r="P17" s="8"/>
    </row>
    <row r="18">
      <c r="A18" s="68"/>
      <c r="B18" s="28" t="s">
        <v>39</v>
      </c>
      <c r="C18" s="66"/>
      <c r="D18" s="66"/>
      <c r="E18" s="66"/>
      <c r="F18" s="66"/>
      <c r="G18" s="66"/>
      <c r="H18" s="66"/>
      <c r="I18" s="66"/>
      <c r="J18" s="67"/>
      <c r="K18" s="67"/>
      <c r="L18" s="67"/>
      <c r="M18" s="67"/>
      <c r="N18" s="67"/>
      <c r="O18" s="32">
        <f t="shared" si="9"/>
      </c>
      <c r="P18" s="8"/>
    </row>
    <row r="19">
      <c r="A19" s="68"/>
      <c r="B19" s="28" t="s">
        <v>41</v>
      </c>
      <c r="C19" s="66"/>
      <c r="D19" s="66"/>
      <c r="E19" s="66"/>
      <c r="F19" s="66"/>
      <c r="G19" s="66"/>
      <c r="H19" s="66"/>
      <c r="I19" s="66"/>
      <c r="J19" s="67"/>
      <c r="K19" s="67"/>
      <c r="L19" s="67"/>
      <c r="M19" s="67"/>
      <c r="N19" s="67"/>
      <c r="O19" s="32">
        <f t="shared" si="9"/>
      </c>
      <c r="P19" s="8"/>
    </row>
    <row r="20">
      <c r="A20" s="68"/>
      <c r="B20" s="28" t="s">
        <v>56</v>
      </c>
      <c r="C20" s="69">
        <f>'はじめに入力'!C40</f>
      </c>
      <c r="D20" s="69">
        <f>'はじめに入力'!D40</f>
      </c>
      <c r="E20" s="69">
        <f>'はじめに入力'!E40</f>
      </c>
      <c r="F20" s="69">
        <f>'はじめに入力'!F40</f>
      </c>
      <c r="G20" s="69">
        <f>'はじめに入力'!G40</f>
      </c>
      <c r="H20" s="69">
        <f>'はじめに入力'!H40</f>
      </c>
      <c r="I20" s="69">
        <f>'はじめに入力'!I40</f>
      </c>
      <c r="J20" s="69">
        <f>'はじめに入力'!J40</f>
      </c>
      <c r="K20" s="69">
        <f>'はじめに入力'!K40</f>
      </c>
      <c r="L20" s="69">
        <f>'はじめに入力'!L40</f>
      </c>
      <c r="M20" s="69">
        <f>'はじめに入力'!M40</f>
      </c>
      <c r="N20" s="69">
        <f>'はじめに入力'!N40</f>
      </c>
      <c r="O20" s="49">
        <f t="shared" si="9"/>
      </c>
      <c r="P20" s="8"/>
    </row>
    <row r="21">
      <c r="A21" s="74"/>
      <c r="B21" s="28" t="s">
        <v>57</v>
      </c>
      <c r="C21" s="69">
        <f>'はじめに入力'!C41</f>
      </c>
      <c r="D21" s="69">
        <f>'はじめに入力'!D41</f>
      </c>
      <c r="E21" s="69">
        <f>'はじめに入力'!E41</f>
      </c>
      <c r="F21" s="69">
        <f>'はじめに入力'!F41</f>
      </c>
      <c r="G21" s="69">
        <f>'はじめに入力'!G41</f>
      </c>
      <c r="H21" s="69">
        <f>'はじめに入力'!H41</f>
      </c>
      <c r="I21" s="69">
        <f>'はじめに入力'!I41</f>
      </c>
      <c r="J21" s="69">
        <f>'はじめに入力'!J41</f>
      </c>
      <c r="K21" s="69">
        <f>'はじめに入力'!K41</f>
      </c>
      <c r="L21" s="69">
        <f>'はじめに入力'!L41</f>
      </c>
      <c r="M21" s="69">
        <f>'はじめに入力'!M41</f>
      </c>
      <c r="N21" s="69">
        <f>'はじめに入力'!N41</f>
      </c>
      <c r="O21" s="49">
        <f t="shared" si="9"/>
      </c>
      <c r="P21" s="8"/>
    </row>
    <row r="22">
      <c r="P22" s="8"/>
    </row>
    <row r="23">
      <c r="A23" s="14" t="s">
        <v>13</v>
      </c>
      <c r="B23" s="14" t="s">
        <v>87</v>
      </c>
      <c r="C23" s="22">
        <f t="shared" ref="C23:N23" si="10">C$4</f>
      </c>
      <c r="D23" s="22">
        <f t="shared" si="10"/>
      </c>
      <c r="E23" s="22">
        <f t="shared" si="10"/>
      </c>
      <c r="F23" s="22">
        <f t="shared" si="10"/>
      </c>
      <c r="G23" s="22">
        <f t="shared" si="10"/>
      </c>
      <c r="H23" s="22">
        <f t="shared" si="10"/>
      </c>
      <c r="I23" s="22">
        <f t="shared" si="10"/>
      </c>
      <c r="J23" s="22">
        <f t="shared" si="10"/>
      </c>
      <c r="K23" s="22">
        <f t="shared" si="10"/>
      </c>
      <c r="L23" s="22">
        <f t="shared" si="10"/>
      </c>
      <c r="M23" s="22">
        <f t="shared" si="10"/>
      </c>
      <c r="N23" s="22">
        <f t="shared" si="10"/>
      </c>
      <c r="O23" s="23" t="s">
        <v>69</v>
      </c>
      <c r="P23" s="8"/>
    </row>
    <row r="24">
      <c r="A24" s="64" t="s">
        <v>87</v>
      </c>
      <c r="B24" s="28" t="s">
        <v>34</v>
      </c>
      <c r="C24" s="66"/>
      <c r="D24" s="66"/>
      <c r="E24" s="66"/>
      <c r="F24" s="66"/>
      <c r="G24" s="66"/>
      <c r="H24" s="66"/>
      <c r="I24" s="66"/>
      <c r="J24" s="67"/>
      <c r="K24" s="67"/>
      <c r="L24" s="67"/>
      <c r="M24" s="67"/>
      <c r="N24" s="67"/>
      <c r="O24" s="32">
        <f t="shared" ref="O24:O29" si="11">SUM(C24:N24)</f>
      </c>
      <c r="P24" s="8"/>
    </row>
    <row r="25">
      <c r="A25" s="68"/>
      <c r="B25" s="28" t="s">
        <v>37</v>
      </c>
      <c r="C25" s="66"/>
      <c r="D25" s="66"/>
      <c r="E25" s="66"/>
      <c r="F25" s="66"/>
      <c r="G25" s="66"/>
      <c r="H25" s="66"/>
      <c r="I25" s="66"/>
      <c r="J25" s="67"/>
      <c r="K25" s="67"/>
      <c r="L25" s="67"/>
      <c r="M25" s="67"/>
      <c r="N25" s="67"/>
      <c r="O25" s="32">
        <f t="shared" si="11"/>
      </c>
      <c r="P25" s="8"/>
    </row>
    <row r="26">
      <c r="A26" s="68"/>
      <c r="B26" s="28" t="s">
        <v>39</v>
      </c>
      <c r="C26" s="66"/>
      <c r="D26" s="66"/>
      <c r="E26" s="66"/>
      <c r="F26" s="66"/>
      <c r="G26" s="66"/>
      <c r="H26" s="66"/>
      <c r="I26" s="66"/>
      <c r="J26" s="67"/>
      <c r="K26" s="67"/>
      <c r="L26" s="67"/>
      <c r="M26" s="67"/>
      <c r="N26" s="67"/>
      <c r="O26" s="32">
        <f t="shared" si="11"/>
      </c>
      <c r="P26" s="8"/>
    </row>
    <row r="27">
      <c r="A27" s="68"/>
      <c r="B27" s="28" t="s">
        <v>41</v>
      </c>
      <c r="C27" s="66"/>
      <c r="D27" s="66"/>
      <c r="E27" s="66"/>
      <c r="F27" s="66"/>
      <c r="G27" s="66"/>
      <c r="H27" s="66"/>
      <c r="I27" s="66"/>
      <c r="J27" s="67"/>
      <c r="K27" s="67"/>
      <c r="L27" s="67"/>
      <c r="M27" s="67"/>
      <c r="N27" s="67"/>
      <c r="O27" s="32">
        <f t="shared" si="11"/>
      </c>
      <c r="P27" s="8"/>
    </row>
    <row r="28">
      <c r="A28" s="68"/>
      <c r="B28" s="28" t="s">
        <v>56</v>
      </c>
      <c r="C28" s="69">
        <f>'はじめに入力'!C46</f>
      </c>
      <c r="D28" s="69">
        <f>'はじめに入力'!D46</f>
      </c>
      <c r="E28" s="69">
        <f>'はじめに入力'!E46</f>
      </c>
      <c r="F28" s="69">
        <f>'はじめに入力'!F46</f>
      </c>
      <c r="G28" s="69">
        <f>'はじめに入力'!G46</f>
      </c>
      <c r="H28" s="69">
        <f>'はじめに入力'!H46</f>
      </c>
      <c r="I28" s="69">
        <f>'はじめに入力'!I46</f>
      </c>
      <c r="J28" s="69">
        <f>'はじめに入力'!J46</f>
      </c>
      <c r="K28" s="69">
        <f>'はじめに入力'!K46</f>
      </c>
      <c r="L28" s="69">
        <f>'はじめに入力'!L46</f>
      </c>
      <c r="M28" s="69">
        <f>'はじめに入力'!M46</f>
      </c>
      <c r="N28" s="69">
        <f>'はじめに入力'!N46</f>
      </c>
      <c r="O28" s="49">
        <f t="shared" si="11"/>
      </c>
      <c r="P28" s="8"/>
    </row>
    <row r="29">
      <c r="A29" s="74"/>
      <c r="B29" s="28" t="s">
        <v>57</v>
      </c>
      <c r="C29" s="69">
        <f>'はじめに入力'!C47</f>
      </c>
      <c r="D29" s="69">
        <f>'はじめに入力'!D47</f>
      </c>
      <c r="E29" s="69">
        <f>'はじめに入力'!E47</f>
      </c>
      <c r="F29" s="69">
        <f>'はじめに入力'!F47</f>
      </c>
      <c r="G29" s="69">
        <f>'はじめに入力'!G47</f>
      </c>
      <c r="H29" s="69">
        <f>'はじめに入力'!H47</f>
      </c>
      <c r="I29" s="69">
        <f>'はじめに入力'!I47</f>
      </c>
      <c r="J29" s="69">
        <f>'はじめに入力'!J47</f>
      </c>
      <c r="K29" s="69">
        <f>'はじめに入力'!K47</f>
      </c>
      <c r="L29" s="69">
        <f>'はじめに入力'!L47</f>
      </c>
      <c r="M29" s="69">
        <f>'はじめに入力'!M47</f>
      </c>
      <c r="N29" s="69">
        <f>'はじめに入力'!N47</f>
      </c>
      <c r="O29" s="49">
        <f t="shared" si="11"/>
      </c>
      <c r="P29" s="8"/>
    </row>
    <row r="30">
      <c r="P30" s="8"/>
    </row>
    <row r="31">
      <c r="A31" s="14" t="s">
        <v>13</v>
      </c>
      <c r="B31" s="14" t="s">
        <v>66</v>
      </c>
      <c r="C31" s="22">
        <f t="shared" ref="C31:N31" si="12">C$4</f>
      </c>
      <c r="D31" s="22">
        <f t="shared" si="12"/>
      </c>
      <c r="E31" s="22">
        <f t="shared" si="12"/>
      </c>
      <c r="F31" s="22">
        <f t="shared" si="12"/>
      </c>
      <c r="G31" s="22">
        <f t="shared" si="12"/>
      </c>
      <c r="H31" s="22">
        <f t="shared" si="12"/>
      </c>
      <c r="I31" s="22">
        <f t="shared" si="12"/>
      </c>
      <c r="J31" s="22">
        <f t="shared" si="12"/>
      </c>
      <c r="K31" s="22">
        <f t="shared" si="12"/>
      </c>
      <c r="L31" s="22">
        <f t="shared" si="12"/>
      </c>
      <c r="M31" s="22">
        <f t="shared" si="12"/>
      </c>
      <c r="N31" s="22">
        <f t="shared" si="12"/>
      </c>
      <c r="O31" s="23" t="s">
        <v>69</v>
      </c>
      <c r="P31" s="8"/>
    </row>
    <row r="32">
      <c r="A32" s="64" t="s">
        <v>66</v>
      </c>
      <c r="B32" s="28" t="s">
        <v>34</v>
      </c>
      <c r="C32" s="66"/>
      <c r="D32" s="66"/>
      <c r="E32" s="66"/>
      <c r="F32" s="66"/>
      <c r="G32" s="66"/>
      <c r="H32" s="66"/>
      <c r="I32" s="66"/>
      <c r="J32" s="67"/>
      <c r="K32" s="67"/>
      <c r="L32" s="67"/>
      <c r="M32" s="67"/>
      <c r="N32" s="67"/>
      <c r="O32" s="32">
        <f t="shared" ref="O32:O37" si="13">SUM(C32:N32)</f>
      </c>
      <c r="P32" s="8"/>
    </row>
    <row r="33">
      <c r="A33" s="68"/>
      <c r="B33" s="28" t="s">
        <v>37</v>
      </c>
      <c r="C33" s="66"/>
      <c r="D33" s="66"/>
      <c r="E33" s="66"/>
      <c r="F33" s="66"/>
      <c r="G33" s="66"/>
      <c r="H33" s="66"/>
      <c r="I33" s="66"/>
      <c r="J33" s="67"/>
      <c r="K33" s="67"/>
      <c r="L33" s="67"/>
      <c r="M33" s="67"/>
      <c r="N33" s="67"/>
      <c r="O33" s="32">
        <f t="shared" si="13"/>
      </c>
      <c r="P33" s="8"/>
    </row>
    <row r="34">
      <c r="A34" s="68"/>
      <c r="B34" s="28" t="s">
        <v>39</v>
      </c>
      <c r="C34" s="66"/>
      <c r="D34" s="66"/>
      <c r="E34" s="66"/>
      <c r="F34" s="66"/>
      <c r="G34" s="66"/>
      <c r="H34" s="66"/>
      <c r="I34" s="66"/>
      <c r="J34" s="67"/>
      <c r="K34" s="67"/>
      <c r="L34" s="67"/>
      <c r="M34" s="67"/>
      <c r="N34" s="67"/>
      <c r="O34" s="32">
        <f t="shared" si="13"/>
      </c>
      <c r="P34" s="8"/>
    </row>
    <row r="35">
      <c r="A35" s="68"/>
      <c r="B35" s="28" t="s">
        <v>41</v>
      </c>
      <c r="C35" s="66"/>
      <c r="D35" s="66"/>
      <c r="E35" s="66"/>
      <c r="F35" s="66"/>
      <c r="G35" s="66"/>
      <c r="H35" s="66"/>
      <c r="I35" s="66"/>
      <c r="J35" s="67"/>
      <c r="K35" s="67"/>
      <c r="L35" s="67"/>
      <c r="M35" s="67"/>
      <c r="N35" s="67"/>
      <c r="O35" s="32">
        <f t="shared" si="13"/>
      </c>
      <c r="P35" s="8"/>
    </row>
    <row r="36">
      <c r="A36" s="68"/>
      <c r="B36" s="28" t="s">
        <v>56</v>
      </c>
      <c r="C36" s="69">
        <f>'はじめに入力'!C52</f>
      </c>
      <c r="D36" s="69">
        <f>'はじめに入力'!D52</f>
      </c>
      <c r="E36" s="69">
        <f>'はじめに入力'!E52</f>
      </c>
      <c r="F36" s="69">
        <f>'はじめに入力'!F52</f>
      </c>
      <c r="G36" s="69">
        <f>'はじめに入力'!G52</f>
      </c>
      <c r="H36" s="69">
        <f>'はじめに入力'!H52</f>
      </c>
      <c r="I36" s="69">
        <f>'はじめに入力'!I52</f>
      </c>
      <c r="J36" s="69">
        <f>'はじめに入力'!J52</f>
      </c>
      <c r="K36" s="69">
        <f>'はじめに入力'!K52</f>
      </c>
      <c r="L36" s="69">
        <f>'はじめに入力'!L52</f>
      </c>
      <c r="M36" s="69">
        <f>'はじめに入力'!M52</f>
      </c>
      <c r="N36" s="69">
        <f>'はじめに入力'!N52</f>
      </c>
      <c r="O36" s="49">
        <f t="shared" si="13"/>
      </c>
      <c r="P36" s="8"/>
    </row>
    <row r="37">
      <c r="A37" s="74"/>
      <c r="B37" s="28" t="s">
        <v>57</v>
      </c>
      <c r="C37" s="69">
        <f>'はじめに入力'!C53</f>
      </c>
      <c r="D37" s="69">
        <f>'はじめに入力'!D53</f>
      </c>
      <c r="E37" s="69">
        <f>'はじめに入力'!E53</f>
      </c>
      <c r="F37" s="69">
        <f>'はじめに入力'!F53</f>
      </c>
      <c r="G37" s="69">
        <f>'はじめに入力'!G53</f>
      </c>
      <c r="H37" s="69">
        <f>'はじめに入力'!H53</f>
      </c>
      <c r="I37" s="69">
        <f>'はじめに入力'!I53</f>
      </c>
      <c r="J37" s="69">
        <f>'はじめに入力'!J53</f>
      </c>
      <c r="K37" s="69">
        <f>'はじめに入力'!K53</f>
      </c>
      <c r="L37" s="69">
        <f>'はじめに入力'!L53</f>
      </c>
      <c r="M37" s="69">
        <f>'はじめに入力'!M53</f>
      </c>
      <c r="N37" s="69">
        <f>'はじめに入力'!N53</f>
      </c>
      <c r="O37" s="49">
        <f t="shared" si="13"/>
      </c>
      <c r="P37" s="8"/>
    </row>
    <row r="38">
      <c r="P38" s="8"/>
    </row>
    <row r="39">
      <c r="A39" s="14" t="s">
        <v>13</v>
      </c>
      <c r="B39" s="14" t="s">
        <v>46</v>
      </c>
      <c r="C39" s="22">
        <f t="shared" ref="C39:N39" si="14">C$4</f>
      </c>
      <c r="D39" s="22">
        <f t="shared" si="14"/>
      </c>
      <c r="E39" s="22">
        <f t="shared" si="14"/>
      </c>
      <c r="F39" s="22">
        <f t="shared" si="14"/>
      </c>
      <c r="G39" s="22">
        <f t="shared" si="14"/>
      </c>
      <c r="H39" s="22">
        <f t="shared" si="14"/>
      </c>
      <c r="I39" s="22">
        <f t="shared" si="14"/>
      </c>
      <c r="J39" s="22">
        <f t="shared" si="14"/>
      </c>
      <c r="K39" s="22">
        <f t="shared" si="14"/>
      </c>
      <c r="L39" s="22">
        <f t="shared" si="14"/>
      </c>
      <c r="M39" s="22">
        <f t="shared" si="14"/>
      </c>
      <c r="N39" s="22">
        <f t="shared" si="14"/>
      </c>
      <c r="O39" s="23" t="s">
        <v>69</v>
      </c>
      <c r="P39" s="8"/>
    </row>
    <row r="40">
      <c r="A40" s="64" t="s">
        <v>46</v>
      </c>
      <c r="B40" s="28" t="s">
        <v>34</v>
      </c>
      <c r="C40" s="66"/>
      <c r="D40" s="66"/>
      <c r="E40" s="66"/>
      <c r="F40" s="66"/>
      <c r="G40" s="66"/>
      <c r="H40" s="66"/>
      <c r="I40" s="66"/>
      <c r="J40" s="67"/>
      <c r="K40" s="67"/>
      <c r="L40" s="67"/>
      <c r="M40" s="67"/>
      <c r="N40" s="67"/>
      <c r="O40" s="32">
        <f t="shared" ref="O40:O45" si="15">SUM(C40:N40)</f>
      </c>
      <c r="P40" s="8"/>
    </row>
    <row r="41">
      <c r="A41" s="68"/>
      <c r="B41" s="28" t="s">
        <v>37</v>
      </c>
      <c r="C41" s="66"/>
      <c r="D41" s="66"/>
      <c r="E41" s="66"/>
      <c r="F41" s="66"/>
      <c r="G41" s="66"/>
      <c r="H41" s="66"/>
      <c r="I41" s="66"/>
      <c r="J41" s="67"/>
      <c r="K41" s="67"/>
      <c r="L41" s="67"/>
      <c r="M41" s="67"/>
      <c r="N41" s="67"/>
      <c r="O41" s="32">
        <f t="shared" si="15"/>
      </c>
      <c r="P41" s="8"/>
    </row>
    <row r="42">
      <c r="A42" s="68"/>
      <c r="B42" s="28" t="s">
        <v>39</v>
      </c>
      <c r="C42" s="66"/>
      <c r="D42" s="66"/>
      <c r="E42" s="66"/>
      <c r="F42" s="66"/>
      <c r="G42" s="66"/>
      <c r="H42" s="66"/>
      <c r="I42" s="66"/>
      <c r="J42" s="67"/>
      <c r="K42" s="67"/>
      <c r="L42" s="67"/>
      <c r="M42" s="67"/>
      <c r="N42" s="67"/>
      <c r="O42" s="32">
        <f t="shared" si="15"/>
      </c>
      <c r="P42" s="8"/>
    </row>
    <row r="43">
      <c r="A43" s="68"/>
      <c r="B43" s="28" t="s">
        <v>41</v>
      </c>
      <c r="C43" s="66"/>
      <c r="D43" s="66"/>
      <c r="E43" s="66"/>
      <c r="F43" s="66"/>
      <c r="G43" s="66"/>
      <c r="H43" s="66"/>
      <c r="I43" s="66"/>
      <c r="J43" s="67"/>
      <c r="K43" s="67"/>
      <c r="L43" s="67"/>
      <c r="M43" s="67"/>
      <c r="N43" s="67"/>
      <c r="O43" s="32">
        <f t="shared" si="15"/>
      </c>
      <c r="P43" s="8"/>
    </row>
    <row r="44">
      <c r="A44" s="68"/>
      <c r="B44" s="28" t="s">
        <v>56</v>
      </c>
      <c r="C44" s="69">
        <f>'はじめに入力'!C58</f>
      </c>
      <c r="D44" s="69">
        <f>'はじめに入力'!D58</f>
      </c>
      <c r="E44" s="69">
        <f>'はじめに入力'!E58</f>
      </c>
      <c r="F44" s="69">
        <f>'はじめに入力'!F58</f>
      </c>
      <c r="G44" s="69">
        <f>'はじめに入力'!G58</f>
      </c>
      <c r="H44" s="69">
        <f>'はじめに入力'!H58</f>
      </c>
      <c r="I44" s="69">
        <f>'はじめに入力'!I58</f>
      </c>
      <c r="J44" s="69">
        <f>'はじめに入力'!J58</f>
      </c>
      <c r="K44" s="69">
        <f>'はじめに入力'!K58</f>
      </c>
      <c r="L44" s="69">
        <f>'はじめに入力'!L58</f>
      </c>
      <c r="M44" s="69">
        <f>'はじめに入力'!M58</f>
      </c>
      <c r="N44" s="69">
        <f>'はじめに入力'!N58</f>
      </c>
      <c r="O44" s="49">
        <f t="shared" si="15"/>
      </c>
      <c r="P44" s="8"/>
    </row>
    <row r="45">
      <c r="A45" s="74"/>
      <c r="B45" s="28" t="s">
        <v>57</v>
      </c>
      <c r="C45" s="69">
        <f>'はじめに入力'!C59</f>
      </c>
      <c r="D45" s="69">
        <f>'はじめに入力'!D59</f>
      </c>
      <c r="E45" s="69">
        <f>'はじめに入力'!E59</f>
      </c>
      <c r="F45" s="69">
        <f>'はじめに入力'!F59</f>
      </c>
      <c r="G45" s="69">
        <f>'はじめに入力'!G59</f>
      </c>
      <c r="H45" s="69">
        <f>'はじめに入力'!H59</f>
      </c>
      <c r="I45" s="69">
        <f>'はじめに入力'!I59</f>
      </c>
      <c r="J45" s="69">
        <f>'はじめに入力'!J59</f>
      </c>
      <c r="K45" s="69">
        <f>'はじめに入力'!K59</f>
      </c>
      <c r="L45" s="69">
        <f>'はじめに入力'!L59</f>
      </c>
      <c r="M45" s="69">
        <f>'はじめに入力'!M59</f>
      </c>
      <c r="N45" s="69">
        <f>'はじめに入力'!N59</f>
      </c>
      <c r="O45" s="49">
        <f t="shared" si="15"/>
      </c>
      <c r="P45" s="8"/>
    </row>
    <row r="46">
      <c r="P46" s="8"/>
    </row>
    <row r="47">
      <c r="A47" s="14" t="s">
        <v>13</v>
      </c>
      <c r="B47" s="14" t="s">
        <v>99</v>
      </c>
      <c r="C47" s="22">
        <f t="shared" ref="C47:N47" si="16">C$4</f>
      </c>
      <c r="D47" s="22">
        <f t="shared" si="16"/>
      </c>
      <c r="E47" s="22">
        <f t="shared" si="16"/>
      </c>
      <c r="F47" s="22">
        <f t="shared" si="16"/>
      </c>
      <c r="G47" s="22">
        <f t="shared" si="16"/>
      </c>
      <c r="H47" s="22">
        <f t="shared" si="16"/>
      </c>
      <c r="I47" s="22">
        <f t="shared" si="16"/>
      </c>
      <c r="J47" s="22">
        <f t="shared" si="16"/>
      </c>
      <c r="K47" s="22">
        <f t="shared" si="16"/>
      </c>
      <c r="L47" s="22">
        <f t="shared" si="16"/>
      </c>
      <c r="M47" s="22">
        <f t="shared" si="16"/>
      </c>
      <c r="N47" s="22">
        <f t="shared" si="16"/>
      </c>
      <c r="O47" s="23" t="s">
        <v>69</v>
      </c>
      <c r="P47" s="8"/>
    </row>
    <row r="48">
      <c r="A48" s="64" t="s">
        <v>99</v>
      </c>
      <c r="B48" s="28" t="s">
        <v>34</v>
      </c>
      <c r="C48" s="66"/>
      <c r="D48" s="66"/>
      <c r="E48" s="66"/>
      <c r="F48" s="66"/>
      <c r="G48" s="66"/>
      <c r="H48" s="66"/>
      <c r="I48" s="66"/>
      <c r="J48" s="67"/>
      <c r="K48" s="67"/>
      <c r="L48" s="67"/>
      <c r="M48" s="67"/>
      <c r="N48" s="67"/>
      <c r="O48" s="32">
        <f t="shared" ref="O48:O53" si="17">SUM(C48:N48)</f>
      </c>
      <c r="P48" s="8"/>
    </row>
    <row r="49">
      <c r="A49" s="68"/>
      <c r="B49" s="28" t="s">
        <v>37</v>
      </c>
      <c r="C49" s="66"/>
      <c r="D49" s="66"/>
      <c r="E49" s="66"/>
      <c r="F49" s="66"/>
      <c r="G49" s="66"/>
      <c r="H49" s="66"/>
      <c r="I49" s="66"/>
      <c r="J49" s="67"/>
      <c r="K49" s="67"/>
      <c r="L49" s="67"/>
      <c r="M49" s="67"/>
      <c r="N49" s="67"/>
      <c r="O49" s="32">
        <f t="shared" si="17"/>
      </c>
      <c r="P49" s="8"/>
    </row>
    <row r="50">
      <c r="A50" s="68"/>
      <c r="B50" s="28" t="s">
        <v>39</v>
      </c>
      <c r="C50" s="66"/>
      <c r="D50" s="66"/>
      <c r="E50" s="66"/>
      <c r="F50" s="66"/>
      <c r="G50" s="66"/>
      <c r="H50" s="66"/>
      <c r="I50" s="66"/>
      <c r="J50" s="67"/>
      <c r="K50" s="67"/>
      <c r="L50" s="67"/>
      <c r="M50" s="67"/>
      <c r="N50" s="67"/>
      <c r="O50" s="32">
        <f t="shared" si="17"/>
      </c>
      <c r="P50" s="8"/>
    </row>
    <row r="51">
      <c r="A51" s="68"/>
      <c r="B51" s="28" t="s">
        <v>41</v>
      </c>
      <c r="C51" s="66"/>
      <c r="D51" s="66"/>
      <c r="E51" s="66"/>
      <c r="F51" s="66"/>
      <c r="G51" s="66"/>
      <c r="H51" s="66"/>
      <c r="I51" s="66"/>
      <c r="J51" s="67"/>
      <c r="K51" s="67"/>
      <c r="L51" s="67"/>
      <c r="M51" s="67"/>
      <c r="N51" s="67"/>
      <c r="O51" s="32">
        <f t="shared" si="17"/>
      </c>
      <c r="P51" s="8"/>
    </row>
    <row r="52">
      <c r="A52" s="68"/>
      <c r="B52" s="28" t="s">
        <v>56</v>
      </c>
      <c r="C52" s="69">
        <f>'はじめに入力'!C64</f>
      </c>
      <c r="D52" s="69">
        <f>'はじめに入力'!D64</f>
      </c>
      <c r="E52" s="69">
        <f>'はじめに入力'!E64</f>
      </c>
      <c r="F52" s="69">
        <f>'はじめに入力'!F64</f>
      </c>
      <c r="G52" s="69">
        <f>'はじめに入力'!G64</f>
      </c>
      <c r="H52" s="69">
        <f>'はじめに入力'!H64</f>
      </c>
      <c r="I52" s="69">
        <f>'はじめに入力'!I64</f>
      </c>
      <c r="J52" s="69">
        <f>'はじめに入力'!J64</f>
      </c>
      <c r="K52" s="69">
        <f>'はじめに入力'!K64</f>
      </c>
      <c r="L52" s="69">
        <f>'はじめに入力'!L64</f>
      </c>
      <c r="M52" s="69">
        <f>'はじめに入力'!M64</f>
      </c>
      <c r="N52" s="69">
        <f>'はじめに入力'!N64</f>
      </c>
      <c r="O52" s="49">
        <f t="shared" si="17"/>
      </c>
      <c r="P52" s="8"/>
    </row>
    <row r="53">
      <c r="A53" s="74"/>
      <c r="B53" s="28" t="s">
        <v>57</v>
      </c>
      <c r="C53" s="69">
        <f>'はじめに入力'!C65</f>
      </c>
      <c r="D53" s="69">
        <f>'はじめに入力'!D65</f>
      </c>
      <c r="E53" s="69">
        <f>'はじめに入力'!E65</f>
      </c>
      <c r="F53" s="69">
        <f>'はじめに入力'!F65</f>
      </c>
      <c r="G53" s="69">
        <f>'はじめに入力'!G65</f>
      </c>
      <c r="H53" s="69">
        <f>'はじめに入力'!H65</f>
      </c>
      <c r="I53" s="69">
        <f>'はじめに入力'!I65</f>
      </c>
      <c r="J53" s="69">
        <f>'はじめに入力'!J65</f>
      </c>
      <c r="K53" s="69">
        <f>'はじめに入力'!K65</f>
      </c>
      <c r="L53" s="69">
        <f>'はじめに入力'!L65</f>
      </c>
      <c r="M53" s="69">
        <f>'はじめに入力'!M65</f>
      </c>
      <c r="N53" s="69">
        <f>'はじめに入力'!N65</f>
      </c>
      <c r="O53" s="49">
        <f t="shared" si="17"/>
      </c>
      <c r="P53" s="8"/>
    </row>
    <row r="54">
      <c r="P54" s="8"/>
    </row>
    <row r="55">
      <c r="A55" s="14" t="s">
        <v>13</v>
      </c>
      <c r="B55" s="14" t="s">
        <v>62</v>
      </c>
      <c r="C55" s="22">
        <f t="shared" ref="C55:N55" si="18">C$4</f>
      </c>
      <c r="D55" s="22">
        <f t="shared" si="18"/>
      </c>
      <c r="E55" s="22">
        <f t="shared" si="18"/>
      </c>
      <c r="F55" s="22">
        <f t="shared" si="18"/>
      </c>
      <c r="G55" s="22">
        <f t="shared" si="18"/>
      </c>
      <c r="H55" s="22">
        <f t="shared" si="18"/>
      </c>
      <c r="I55" s="22">
        <f t="shared" si="18"/>
      </c>
      <c r="J55" s="22">
        <f t="shared" si="18"/>
      </c>
      <c r="K55" s="22">
        <f t="shared" si="18"/>
      </c>
      <c r="L55" s="22">
        <f t="shared" si="18"/>
      </c>
      <c r="M55" s="22">
        <f t="shared" si="18"/>
      </c>
      <c r="N55" s="22">
        <f t="shared" si="18"/>
      </c>
      <c r="O55" s="23" t="s">
        <v>69</v>
      </c>
      <c r="P55" s="8"/>
    </row>
    <row r="56">
      <c r="A56" s="64" t="s">
        <v>62</v>
      </c>
      <c r="B56" s="28" t="s">
        <v>34</v>
      </c>
      <c r="C56" s="66"/>
      <c r="D56" s="66"/>
      <c r="E56" s="66"/>
      <c r="F56" s="66"/>
      <c r="G56" s="66"/>
      <c r="H56" s="66"/>
      <c r="I56" s="66"/>
      <c r="J56" s="67"/>
      <c r="K56" s="67"/>
      <c r="L56" s="67"/>
      <c r="M56" s="67"/>
      <c r="N56" s="67"/>
      <c r="O56" s="32">
        <f t="shared" ref="O56:O61" si="19">SUM(C56:N56)</f>
      </c>
      <c r="P56" s="8"/>
    </row>
    <row r="57">
      <c r="A57" s="68"/>
      <c r="B57" s="28" t="s">
        <v>37</v>
      </c>
      <c r="C57" s="66"/>
      <c r="D57" s="66"/>
      <c r="E57" s="66"/>
      <c r="F57" s="66"/>
      <c r="G57" s="66"/>
      <c r="H57" s="66"/>
      <c r="I57" s="66"/>
      <c r="J57" s="67"/>
      <c r="K57" s="67"/>
      <c r="L57" s="67"/>
      <c r="M57" s="67"/>
      <c r="N57" s="67"/>
      <c r="O57" s="32">
        <f t="shared" si="19"/>
      </c>
      <c r="P57" s="8"/>
      <c r="Q57" s="30"/>
    </row>
    <row r="58">
      <c r="A58" s="68"/>
      <c r="B58" s="28" t="s">
        <v>39</v>
      </c>
      <c r="C58" s="66"/>
      <c r="D58" s="66"/>
      <c r="E58" s="66"/>
      <c r="F58" s="66"/>
      <c r="G58" s="66"/>
      <c r="H58" s="66"/>
      <c r="I58" s="66"/>
      <c r="J58" s="67"/>
      <c r="K58" s="67"/>
      <c r="L58" s="67"/>
      <c r="M58" s="67"/>
      <c r="N58" s="67"/>
      <c r="O58" s="32">
        <f t="shared" si="19"/>
      </c>
      <c r="P58" s="8"/>
      <c r="Q58" s="30"/>
    </row>
    <row r="59">
      <c r="A59" s="68"/>
      <c r="B59" s="28" t="s">
        <v>41</v>
      </c>
      <c r="C59" s="66"/>
      <c r="D59" s="66"/>
      <c r="E59" s="66"/>
      <c r="F59" s="66"/>
      <c r="G59" s="66"/>
      <c r="H59" s="66"/>
      <c r="I59" s="66"/>
      <c r="J59" s="67"/>
      <c r="K59" s="67"/>
      <c r="L59" s="67"/>
      <c r="M59" s="67"/>
      <c r="N59" s="67"/>
      <c r="O59" s="32">
        <f t="shared" si="19"/>
      </c>
      <c r="P59" s="8"/>
    </row>
    <row r="60">
      <c r="A60" s="68"/>
      <c r="B60" s="28" t="s">
        <v>56</v>
      </c>
      <c r="C60" s="69">
        <f>'はじめに入力'!C70</f>
      </c>
      <c r="D60" s="69">
        <f>'はじめに入力'!D70</f>
      </c>
      <c r="E60" s="69">
        <f>'はじめに入力'!E70</f>
      </c>
      <c r="F60" s="69">
        <f>'はじめに入力'!F70</f>
      </c>
      <c r="G60" s="69">
        <f>'はじめに入力'!G70</f>
      </c>
      <c r="H60" s="69">
        <f>'はじめに入力'!H70</f>
      </c>
      <c r="I60" s="69">
        <f>'はじめに入力'!I70</f>
      </c>
      <c r="J60" s="69">
        <f>'はじめに入力'!J70</f>
      </c>
      <c r="K60" s="69">
        <f>'はじめに入力'!K70</f>
      </c>
      <c r="L60" s="69">
        <f>'はじめに入力'!L70</f>
      </c>
      <c r="M60" s="69">
        <f>'はじめに入力'!M70</f>
      </c>
      <c r="N60" s="69">
        <f>'はじめに入力'!N70</f>
      </c>
      <c r="O60" s="49">
        <f t="shared" si="19"/>
      </c>
      <c r="P60" s="8"/>
    </row>
    <row r="61">
      <c r="A61" s="74"/>
      <c r="B61" s="28" t="s">
        <v>57</v>
      </c>
      <c r="C61" s="69">
        <f>'はじめに入力'!C71</f>
      </c>
      <c r="D61" s="69">
        <f>'はじめに入力'!D71</f>
      </c>
      <c r="E61" s="69">
        <f>'はじめに入力'!E71</f>
      </c>
      <c r="F61" s="69">
        <f>'はじめに入力'!F71</f>
      </c>
      <c r="G61" s="69">
        <f>'はじめに入力'!G71</f>
      </c>
      <c r="H61" s="69">
        <f>'はじめに入力'!H71</f>
      </c>
      <c r="I61" s="69">
        <f>'はじめに入力'!I71</f>
      </c>
      <c r="J61" s="69">
        <f>'はじめに入力'!J71</f>
      </c>
      <c r="K61" s="69">
        <f>'はじめに入力'!K71</f>
      </c>
      <c r="L61" s="69">
        <f>'はじめに入力'!L71</f>
      </c>
      <c r="M61" s="69">
        <f>'はじめに入力'!M71</f>
      </c>
      <c r="N61" s="69">
        <f>'はじめに入力'!N71</f>
      </c>
      <c r="O61" s="49">
        <f t="shared" si="19"/>
      </c>
      <c r="P61" s="8"/>
    </row>
    <row r="62">
      <c r="P62" s="8"/>
    </row>
    <row r="63">
      <c r="P63" s="8"/>
    </row>
    <row r="64">
      <c r="P64" s="8"/>
    </row>
    <row r="65">
      <c r="P65" s="8"/>
    </row>
    <row r="66">
      <c r="P66" s="6"/>
    </row>
  </sheetData>
  <mergeCells count="6">
    <mergeCell ref="A16:A21"/>
    <mergeCell ref="A24:A29"/>
    <mergeCell ref="A32:A37"/>
    <mergeCell ref="A40:A45"/>
    <mergeCell ref="A48:A53"/>
    <mergeCell ref="A56:A6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1.57"/>
    <col customWidth="1" min="2" max="11" width="13.29"/>
    <col customWidth="1" min="12" max="12" width="43.0"/>
    <col customWidth="1" min="13" max="14" width="11.57"/>
    <col hidden="1" min="17" max="17" width="14.43"/>
    <col customWidth="1" hidden="1" min="18" max="18" width="11.57"/>
    <col customWidth="1" hidden="1" min="19" max="19" width="13.0"/>
    <col customWidth="1" hidden="1" min="20" max="20" width="10.14"/>
    <col customWidth="1" hidden="1" min="21" max="21" width="45.86"/>
    <col customWidth="1" hidden="1" min="22" max="22" width="13.0"/>
    <col hidden="1" min="23" max="33" width="14.43"/>
  </cols>
  <sheetData>
    <row r="1">
      <c r="A1" s="1" t="s">
        <v>15</v>
      </c>
      <c r="D1" s="3" t="s">
        <v>2</v>
      </c>
      <c r="E1" s="2"/>
      <c r="F1" s="2"/>
      <c r="G1" s="2"/>
      <c r="H1" s="2"/>
      <c r="I1" s="2"/>
    </row>
    <row r="3">
      <c r="A3" s="17" t="s">
        <v>29</v>
      </c>
      <c r="R3" s="3" t="s">
        <v>33</v>
      </c>
    </row>
    <row r="5">
      <c r="A5" s="14" t="s">
        <v>22</v>
      </c>
      <c r="B5" s="23" t="s">
        <v>34</v>
      </c>
      <c r="C5" s="23" t="s">
        <v>36</v>
      </c>
      <c r="D5" s="23" t="s">
        <v>37</v>
      </c>
      <c r="E5" s="23" t="s">
        <v>38</v>
      </c>
      <c r="F5" s="23" t="s">
        <v>39</v>
      </c>
      <c r="G5" s="23" t="s">
        <v>40</v>
      </c>
      <c r="H5" s="23" t="s">
        <v>41</v>
      </c>
      <c r="I5" s="23" t="s">
        <v>42</v>
      </c>
      <c r="J5" s="23" t="s">
        <v>43</v>
      </c>
      <c r="K5" s="23" t="s">
        <v>19</v>
      </c>
      <c r="R5" s="25" t="s">
        <v>13</v>
      </c>
      <c r="S5" s="25" t="s">
        <v>11</v>
      </c>
      <c r="T5" s="25" t="s">
        <v>44</v>
      </c>
      <c r="U5" s="25" t="s">
        <v>28</v>
      </c>
      <c r="V5" s="25" t="s">
        <v>45</v>
      </c>
      <c r="W5" s="27" t="s">
        <v>47</v>
      </c>
    </row>
    <row r="6">
      <c r="A6" s="28" t="s">
        <v>49</v>
      </c>
      <c r="B6" s="32">
        <f>'はじめに入力'!B17</f>
      </c>
      <c r="C6" s="34">
        <f>'はじめに入力'!C17</f>
      </c>
      <c r="D6" s="32">
        <f>'はじめに入力'!D17</f>
      </c>
      <c r="E6" s="34">
        <f>'はじめに入力'!E17</f>
      </c>
      <c r="F6" s="32">
        <f>'はじめに入力'!F17</f>
      </c>
      <c r="G6" s="34">
        <f>'はじめに入力'!G17</f>
      </c>
      <c r="H6" s="32">
        <f>'はじめに入力'!H17</f>
      </c>
      <c r="I6" s="32">
        <f>'はじめに入力'!J17+'はじめに入力'!K17+'はじめに入力'!K7</f>
      </c>
      <c r="J6" s="32">
        <f>IFERROR(I6/H6,"")</f>
      </c>
      <c r="K6" s="41">
        <f>IFERROR(J6/'はじめに入力'!G7,"")</f>
      </c>
      <c r="R6" s="42" t="s">
        <v>60</v>
      </c>
      <c r="S6" s="42" t="s">
        <v>34</v>
      </c>
      <c r="T6" s="44">
        <f t="shared" ref="T6:T11" si="1">IF(ISNUMBER($C27),$C27,"")</f>
      </c>
      <c r="U6" s="47">
        <f t="shared" ref="U6:U11" si="2">IF(T6="","","実績"&amp;TEXT($B27,"#,##0")&amp;"件（計画"&amp;IFERROR(TEXT($B27/$C27,"#,##0"),"-")&amp;"件・達成率"&amp;TEXT(T6,"0%")&amp;"）")</f>
      </c>
      <c r="V6" s="47">
        <f t="shared" ref="V6:V17" si="3">IF(T6="","",IF(T6&gt;=1,"達成",IF(T6&gt;=0.9,"やや届かない","届かない")))</f>
      </c>
    </row>
    <row r="7">
      <c r="A7" s="28" t="s">
        <v>97</v>
      </c>
      <c r="B7" s="32">
        <f>IF(AND(F7="",H7=""),"",'毎月の実績入力'!O5)</f>
      </c>
      <c r="C7" s="34">
        <f>IFERROR(D7/B7,"")</f>
      </c>
      <c r="D7" s="32">
        <f>IF(AND(F7="",H7=""),"",'毎月の実績入力'!O6)</f>
      </c>
      <c r="E7" s="34">
        <f>IFERROR(F7/D7,"")</f>
      </c>
      <c r="F7" s="50">
        <f>'毎月の実績入力'!O7</f>
      </c>
      <c r="G7" s="34">
        <f>IFERROR(H7/F7,"")</f>
      </c>
      <c r="H7" s="50">
        <f>'毎月の実績入力'!O8</f>
      </c>
      <c r="I7" s="32">
        <f>IF(H7="","",'毎月の実績入力'!O9+'はじめに入力'!K17+'はじめに入力'!K7)</f>
      </c>
      <c r="J7" s="32">
        <f>IF(H7="","",IFERROR(I7/H7,""))</f>
      </c>
      <c r="K7" s="41">
        <f>IF(J7="","",IFERROR(J7/'はじめに入力'!G7,""))</f>
      </c>
      <c r="R7" s="42" t="s">
        <v>87</v>
      </c>
      <c r="S7" s="47" t="s">
        <v>34</v>
      </c>
      <c r="T7" s="44">
        <f t="shared" si="1"/>
      </c>
      <c r="U7" s="47">
        <f t="shared" si="2"/>
      </c>
      <c r="V7" s="47">
        <f t="shared" si="3"/>
      </c>
    </row>
    <row r="8">
      <c r="A8" s="28" t="s">
        <v>135</v>
      </c>
      <c r="B8" s="34">
        <f>IF(B7="","",IFERROR(B7/B6,""))</f>
      </c>
      <c r="C8" s="63">
        <f>IF(C7="","",IFERROR((C7-C6)*100,""))</f>
      </c>
      <c r="D8" s="34">
        <f>IF(D7="","",IFERROR(D7/D6,""))</f>
      </c>
      <c r="E8" s="63">
        <f>IF(E7="","",IFERROR((E7-E6)*100,""))</f>
      </c>
      <c r="F8" s="34">
        <f>IF(F7="","",IFERROR(F7/F6,""))</f>
      </c>
      <c r="G8" s="63">
        <f>IF(G7="","",IFERROR((G7-G6)*100,""))</f>
      </c>
      <c r="H8" s="34">
        <f t="shared" ref="H8:I8" si="4">IF(H7="","",IFERROR(H7/H6,""))</f>
      </c>
      <c r="I8" s="34">
        <f t="shared" si="4"/>
      </c>
      <c r="J8" s="70">
        <f t="shared" ref="J8:K8" si="5">IF(J7="","",J7-J6)</f>
      </c>
      <c r="K8" s="71">
        <f t="shared" si="5"/>
      </c>
      <c r="R8" s="42" t="s">
        <v>66</v>
      </c>
      <c r="S8" s="47" t="s">
        <v>34</v>
      </c>
      <c r="T8" s="44">
        <f t="shared" si="1"/>
      </c>
      <c r="U8" s="47">
        <f t="shared" si="2"/>
      </c>
      <c r="V8" s="47">
        <f t="shared" si="3"/>
      </c>
    </row>
    <row r="9">
      <c r="A9" s="28" t="s">
        <v>45</v>
      </c>
      <c r="B9" s="75">
        <f>IF(B8="","",IF(B8&gt;=1,"達成",IF(B8&gt;=0.9,"やや届かない","届かない")))</f>
      </c>
      <c r="C9" s="75"/>
      <c r="D9" s="75">
        <f>IF(D8="","",IF(D8&gt;=1,"達成",IF(D8&gt;=0.9,"やや届かない","届かない")))</f>
      </c>
      <c r="E9" s="75"/>
      <c r="F9" s="75">
        <f>IF(F8="","",IF(F8&gt;=1,"達成",IF(F8&gt;=0.9,"やや届かない","届かない")))</f>
      </c>
      <c r="G9" s="75"/>
      <c r="H9" s="75">
        <f>IF(H8="","",IF(H8&gt;=1,"達成",IF(H8&gt;=0.9,"やや届かない","届かない")))</f>
      </c>
      <c r="I9" s="75"/>
      <c r="J9" s="75">
        <f>IF(J7="","",IF(J7&lt;='はじめに入力'!H7,"上限内","上限超え"))</f>
      </c>
      <c r="K9" s="75">
        <f>IF(K7="","",IF(K7&lt;='はじめに入力'!E7*12,"上限内","上限超え"))</f>
      </c>
      <c r="R9" s="42" t="s">
        <v>46</v>
      </c>
      <c r="S9" s="47" t="s">
        <v>34</v>
      </c>
      <c r="T9" s="44">
        <f t="shared" si="1"/>
      </c>
      <c r="U9" s="47">
        <f t="shared" si="2"/>
      </c>
      <c r="V9" s="47">
        <f t="shared" si="3"/>
      </c>
    </row>
    <row r="10">
      <c r="A10" s="3" t="s">
        <v>150</v>
      </c>
      <c r="B10" s="2"/>
      <c r="C10" s="2"/>
      <c r="D10" s="2"/>
      <c r="E10" s="2"/>
      <c r="F10" s="2"/>
      <c r="G10" s="2"/>
      <c r="H10" s="2"/>
      <c r="I10" s="2"/>
      <c r="R10" s="42" t="s">
        <v>99</v>
      </c>
      <c r="S10" s="47" t="s">
        <v>34</v>
      </c>
      <c r="T10" s="44">
        <f t="shared" si="1"/>
      </c>
      <c r="U10" s="47">
        <f t="shared" si="2"/>
      </c>
      <c r="V10" s="47">
        <f t="shared" si="3"/>
      </c>
    </row>
    <row r="11">
      <c r="R11" s="42" t="s">
        <v>62</v>
      </c>
      <c r="S11" s="47" t="s">
        <v>34</v>
      </c>
      <c r="T11" s="44">
        <f t="shared" si="1"/>
      </c>
      <c r="U11" s="47">
        <f t="shared" si="2"/>
      </c>
      <c r="V11" s="47">
        <f t="shared" si="3"/>
      </c>
    </row>
    <row r="12">
      <c r="A12" s="17" t="s">
        <v>151</v>
      </c>
      <c r="R12" s="42" t="s">
        <v>66</v>
      </c>
      <c r="S12" s="47" t="s">
        <v>36</v>
      </c>
      <c r="T12" s="44">
        <f>IF(AND(ISNUMBER($C29),ISNUMBER($E29)),IFERROR($E29/$C29,""),"")</f>
      </c>
      <c r="U12" s="47">
        <f t="shared" ref="U12:U17" si="6">IF(T12="","","有効リード率"&amp;TEXT(W12,"0%")&amp;"（計画"&amp;TEXT(W12/T12,"0%")&amp;"）")</f>
      </c>
      <c r="V12" s="47">
        <f t="shared" si="3"/>
      </c>
      <c r="W12" s="85">
        <f>IFERROR($D29/$B29,"")</f>
      </c>
    </row>
    <row r="13">
      <c r="R13" s="42" t="s">
        <v>87</v>
      </c>
      <c r="S13" s="47" t="s">
        <v>36</v>
      </c>
      <c r="T13" s="44">
        <f>IF(AND(ISNUMBER($C28),ISNUMBER($E28)),IFERROR($E28/$C28,""),"")</f>
      </c>
      <c r="U13" s="47">
        <f t="shared" si="6"/>
      </c>
      <c r="V13" s="47">
        <f t="shared" si="3"/>
      </c>
      <c r="W13" s="85">
        <f>IFERROR($D28/$B28,"")</f>
      </c>
    </row>
    <row r="14">
      <c r="A14" s="5" t="s">
        <v>153</v>
      </c>
      <c r="B14" s="87" t="s">
        <v>108</v>
      </c>
      <c r="C14" s="88" t="s">
        <v>154</v>
      </c>
      <c r="D14" s="89">
        <f>IFERROR(MATCH(B14,'毎月の実績入力'!$C$4:$N$4,0),"")</f>
      </c>
      <c r="E14" s="3" t="s">
        <v>157</v>
      </c>
      <c r="R14" s="42" t="s">
        <v>60</v>
      </c>
      <c r="S14" s="42" t="s">
        <v>36</v>
      </c>
      <c r="T14" s="44">
        <f>IF(AND(ISNUMBER($C27),ISNUMBER($E27)),IFERROR($E27/$C27,""),"")</f>
      </c>
      <c r="U14" s="47">
        <f t="shared" si="6"/>
      </c>
      <c r="V14" s="47">
        <f t="shared" si="3"/>
      </c>
      <c r="W14" s="85">
        <f>IFERROR($D27/$B27,"")</f>
      </c>
    </row>
    <row r="15">
      <c r="R15" s="42" t="s">
        <v>46</v>
      </c>
      <c r="S15" s="47" t="s">
        <v>36</v>
      </c>
      <c r="T15" s="44">
        <f t="shared" ref="T15:T17" si="7">IF(AND(ISNUMBER($C30),ISNUMBER($E30)),IFERROR($E30/$C30,""),"")</f>
      </c>
      <c r="U15" s="47">
        <f t="shared" si="6"/>
      </c>
      <c r="V15" s="47">
        <f t="shared" si="3"/>
      </c>
      <c r="W15" s="85">
        <f t="shared" ref="W15:W17" si="8">IFERROR($D30/$B30,"")</f>
      </c>
    </row>
    <row r="16">
      <c r="A16" s="14" t="s">
        <v>22</v>
      </c>
      <c r="B16" s="23" t="s">
        <v>34</v>
      </c>
      <c r="C16" s="23" t="s">
        <v>36</v>
      </c>
      <c r="D16" s="23" t="s">
        <v>37</v>
      </c>
      <c r="F16" s="23" t="s">
        <v>56</v>
      </c>
      <c r="G16" s="23" t="s">
        <v>57</v>
      </c>
      <c r="R16" s="42" t="s">
        <v>99</v>
      </c>
      <c r="S16" s="47" t="s">
        <v>36</v>
      </c>
      <c r="T16" s="44">
        <f t="shared" si="7"/>
      </c>
      <c r="U16" s="47">
        <f t="shared" si="6"/>
      </c>
      <c r="V16" s="47">
        <f t="shared" si="3"/>
      </c>
      <c r="W16" s="85">
        <f t="shared" si="8"/>
      </c>
    </row>
    <row r="17">
      <c r="A17" s="28" t="s">
        <v>159</v>
      </c>
      <c r="B17" s="32">
        <f>IF($D$14="","",SUM(OFFSET('はじめに入力'!$C$31,0,0,1,$D$14)))</f>
      </c>
      <c r="C17" s="34">
        <f t="shared" ref="C17:C18" si="9">IFERROR(D17/B17,"")</f>
      </c>
      <c r="D17" s="32">
        <f>IF($D$14="","",SUM(OFFSET('はじめに入力'!$C$32,0,0,1,$D$14)))</f>
      </c>
      <c r="F17" s="32">
        <f>IF($D$14="","",SUM(OFFSET('はじめに入力'!$C$40,0,0,1,$D$14))+SUM(OFFSET('はじめに入力'!$C$46,0,0,1,$D$14))+SUM(OFFSET('はじめに入力'!$C$52,0,0,1,$D$14))+SUM(OFFSET('はじめに入力'!$C$58,0,0,1,$D$14))+SUM(OFFSET('はじめに入力'!$C$64,0,0,1,$D$14))+SUM(OFFSET('はじめに入力'!$C$70,0,0,1,$D$14)))</f>
      </c>
      <c r="G17" s="32">
        <f>IF($D$14="","",SUM(OFFSET('はじめに入力'!$C$41,0,0,1,$D$14))+SUM(OFFSET('はじめに入力'!$C$47,0,0,1,$D$14))+SUM(OFFSET('はじめに入力'!$C$53,0,0,1,$D$14))+SUM(OFFSET('はじめに入力'!$C$59,0,0,1,$D$14))+SUM(OFFSET('はじめに入力'!$C$65,0,0,1,$D$14))+SUM(OFFSET('はじめに入力'!$C$71,0,0,1,$D$14)))</f>
      </c>
      <c r="R17" s="42" t="s">
        <v>62</v>
      </c>
      <c r="S17" s="47" t="s">
        <v>36</v>
      </c>
      <c r="T17" s="44">
        <f t="shared" si="7"/>
      </c>
      <c r="U17" s="47">
        <f t="shared" si="6"/>
      </c>
      <c r="V17" s="47">
        <f t="shared" si="3"/>
      </c>
      <c r="W17" s="85">
        <f t="shared" si="8"/>
      </c>
    </row>
    <row r="18">
      <c r="A18" s="28" t="s">
        <v>160</v>
      </c>
      <c r="B18" s="32">
        <f>IF($D$14="","",SUM(OFFSET('毎月の実績入力'!$C$5,0,0,1,$D$14)))</f>
      </c>
      <c r="C18" s="34">
        <f t="shared" si="9"/>
      </c>
      <c r="D18" s="32">
        <f>IF($D$14="","",SUM(OFFSET('毎月の実績入力'!$C$6,0,0,1,$D$14)))</f>
      </c>
      <c r="F18" s="32">
        <f>IF($D$14="","",SUM(OFFSET('毎月の実績入力'!$C$9,0,0,1,$D$14)))</f>
      </c>
      <c r="G18" s="32">
        <f>G17</f>
      </c>
      <c r="R18" s="42" t="s">
        <v>60</v>
      </c>
      <c r="S18" s="42" t="s">
        <v>58</v>
      </c>
      <c r="T18" s="44">
        <f>IF(ISNUMBER($I27),IFERROR('はじめに入力'!$I$7/$I27,""),"")</f>
      </c>
      <c r="U18" s="47">
        <f>IF(T18="","","CPL "&amp;TEXT($I27,"0.0")&amp;"万円（許容"&amp;TEXT('はじめに入力'!$I$7,"0.0")&amp;"万円）")</f>
      </c>
      <c r="V18" s="47">
        <f t="shared" ref="V18:V23" si="11">IF(T18="","",IF(T18&gt;=1,"上限内","上限超え"))</f>
      </c>
    </row>
    <row r="19">
      <c r="A19" s="28" t="s">
        <v>135</v>
      </c>
      <c r="B19" s="34">
        <f>IFERROR(B18/B17,"")</f>
      </c>
      <c r="C19" s="63">
        <f>IFERROR((C18-C17)*100,"")</f>
      </c>
      <c r="D19" s="34">
        <f>IFERROR(D18/D17,"")</f>
      </c>
      <c r="F19" s="34">
        <f t="shared" ref="F19:G19" si="10">IFERROR(F18/F17,"")</f>
      </c>
      <c r="G19" s="34">
        <f t="shared" si="10"/>
      </c>
      <c r="R19" s="42" t="s">
        <v>87</v>
      </c>
      <c r="S19" s="47" t="s">
        <v>58</v>
      </c>
      <c r="T19" s="44">
        <f>IF(ISNUMBER($I28),IFERROR('はじめに入力'!$I$7/$I28,""),"")</f>
      </c>
      <c r="U19" s="47">
        <f>IF(T19="","","CPL "&amp;TEXT($I28,"0.0")&amp;"万円（許容"&amp;TEXT('はじめに入力'!$I$7,"0.0")&amp;"万円）")</f>
      </c>
      <c r="V19" s="47">
        <f t="shared" si="11"/>
      </c>
    </row>
    <row r="20">
      <c r="A20" s="28" t="s">
        <v>45</v>
      </c>
      <c r="B20" s="75">
        <f>IF(B19="","",IF(B19&gt;=1,"達成",IF(B19&gt;=0.9,"やや届かない","届かない")))</f>
      </c>
      <c r="C20" s="101" t="s">
        <v>145</v>
      </c>
      <c r="D20" s="75">
        <f>IF(D19="","",IF(D19&gt;=1,"達成",IF(D19&gt;=0.9,"やや届かない","届かない")))</f>
      </c>
      <c r="F20" s="75"/>
      <c r="G20" s="75"/>
      <c r="R20" s="42" t="s">
        <v>66</v>
      </c>
      <c r="S20" s="47" t="s">
        <v>58</v>
      </c>
      <c r="T20" s="44">
        <f>IF(ISNUMBER($I29),IFERROR('はじめに入力'!$I$7/$I29,""),"")</f>
      </c>
      <c r="U20" s="47">
        <f>IF(T20="","","CPL "&amp;TEXT($I29,"0.0")&amp;"万円（許容"&amp;TEXT('はじめに入力'!$I$7,"0.0")&amp;"万円）")</f>
      </c>
      <c r="V20" s="47">
        <f t="shared" si="11"/>
      </c>
    </row>
    <row r="21">
      <c r="A21" s="3" t="s">
        <v>161</v>
      </c>
      <c r="B21" s="2"/>
      <c r="C21" s="2"/>
      <c r="D21" s="2"/>
      <c r="E21" s="2"/>
      <c r="F21" s="2"/>
      <c r="G21" s="2"/>
      <c r="H21" s="2"/>
      <c r="I21" s="2"/>
      <c r="R21" s="42" t="s">
        <v>46</v>
      </c>
      <c r="S21" s="47" t="s">
        <v>58</v>
      </c>
      <c r="T21" s="44">
        <f>IF(ISNUMBER($I30),IFERROR('はじめに入力'!$I$7/$I30,""),"")</f>
      </c>
      <c r="U21" s="47">
        <f>IF(T21="","","CPL "&amp;TEXT($I30,"0.0")&amp;"万円（許容"&amp;TEXT('はじめに入力'!$I$7,"0.0")&amp;"万円）")</f>
      </c>
      <c r="V21" s="47">
        <f t="shared" si="11"/>
      </c>
    </row>
    <row r="22">
      <c r="R22" s="42" t="s">
        <v>99</v>
      </c>
      <c r="S22" s="47" t="s">
        <v>58</v>
      </c>
      <c r="T22" s="44">
        <f>IF(ISNUMBER($I31),IFERROR('はじめに入力'!$I$7/$I31,""),"")</f>
      </c>
      <c r="U22" s="47">
        <f>IF(T22="","","CPL "&amp;TEXT($I31,"0.0")&amp;"万円（許容"&amp;TEXT('はじめに入力'!$I$7,"0.0")&amp;"万円）")</f>
      </c>
      <c r="V22" s="47">
        <f t="shared" si="11"/>
      </c>
    </row>
    <row r="23">
      <c r="A23" s="17" t="s">
        <v>162</v>
      </c>
      <c r="G23" s="102" t="s">
        <v>25</v>
      </c>
      <c r="H23" s="105">
        <f>'はじめに入力'!I7</f>
      </c>
      <c r="R23" s="42" t="s">
        <v>62</v>
      </c>
      <c r="S23" s="47" t="s">
        <v>58</v>
      </c>
      <c r="T23" s="44">
        <f>IF(ISNUMBER($I32),IFERROR('はじめに入力'!$I$7/$I32,""),"")</f>
      </c>
      <c r="U23" s="47">
        <f>IF(T23="","","CPL "&amp;TEXT($I32,"0.0")&amp;"万円（許容"&amp;TEXT('はじめに入力'!$I$7,"0.0")&amp;"万円）")</f>
      </c>
      <c r="V23" s="47">
        <f t="shared" si="11"/>
      </c>
    </row>
    <row r="24">
      <c r="A24" s="5"/>
      <c r="G24" s="102"/>
      <c r="H24" s="105"/>
      <c r="R24" s="42" t="s">
        <v>77</v>
      </c>
      <c r="S24" s="42" t="s">
        <v>38</v>
      </c>
      <c r="T24" s="44">
        <f>IF(ISNUMBER(W24),W24/'はじめに入力'!$E$17,"")</f>
      </c>
      <c r="U24" s="47">
        <f>IF(T24="","","商談化率"&amp;TEXT(W24,"0%")&amp;"（計画"&amp;TEXT('はじめに入力'!$E$17,"0%")&amp;"）")</f>
      </c>
      <c r="V24" s="47">
        <f t="shared" ref="V24:V25" si="12">IF(T24="","",IF(T24&gt;=1,"達成",IF(T24&gt;=0.9,"やや届かない","届かない")))</f>
      </c>
      <c r="W24" s="85">
        <f>IFERROR(SUM(OFFSET('毎月の実績入力'!$C$7,0,0,1,$D$14))/SUM(OFFSET('毎月の実績入力'!$C$6,0,0,1,$D$14)),"")</f>
      </c>
    </row>
    <row r="25">
      <c r="A25" s="106" t="s">
        <v>13</v>
      </c>
      <c r="B25" s="107" t="s">
        <v>34</v>
      </c>
      <c r="C25" s="13"/>
      <c r="D25" s="107" t="s">
        <v>37</v>
      </c>
      <c r="E25" s="13"/>
      <c r="F25" s="108" t="s">
        <v>39</v>
      </c>
      <c r="G25" s="108" t="s">
        <v>41</v>
      </c>
      <c r="H25" s="108" t="s">
        <v>42</v>
      </c>
      <c r="I25" s="108" t="s">
        <v>58</v>
      </c>
      <c r="J25" s="108" t="s">
        <v>45</v>
      </c>
      <c r="K25" s="108" t="s">
        <v>163</v>
      </c>
      <c r="R25" s="42" t="s">
        <v>77</v>
      </c>
      <c r="S25" s="42" t="s">
        <v>40</v>
      </c>
      <c r="T25" s="44">
        <f>IF(ISNUMBER(W25),W25/'はじめに入力'!$G$17,"")</f>
      </c>
      <c r="U25" s="47">
        <f>IF(T25="","","受注率"&amp;TEXT(W25,"0%")&amp;"（計画"&amp;TEXT('はじめに入力'!$G$17,"0%")&amp;"）")</f>
      </c>
      <c r="V25" s="47">
        <f t="shared" si="12"/>
      </c>
      <c r="W25" s="85">
        <f>IF($D$14&lt;='はじめに入力'!$F$7,"",IFERROR(SUM(OFFSET('毎月の実績入力'!$C$8,0,0,1,$D$14))/SUM(OFFSET('毎月の実績入力'!$C$7,0,0,1,$D$14)),""))</f>
      </c>
    </row>
    <row r="26">
      <c r="A26" s="74"/>
      <c r="B26" s="25" t="s">
        <v>160</v>
      </c>
      <c r="C26" s="25" t="s">
        <v>44</v>
      </c>
      <c r="D26" s="25" t="s">
        <v>160</v>
      </c>
      <c r="E26" s="25" t="s">
        <v>44</v>
      </c>
      <c r="F26" s="74"/>
      <c r="G26" s="74"/>
      <c r="H26" s="74"/>
      <c r="I26" s="74"/>
      <c r="J26" s="74"/>
      <c r="K26" s="74"/>
      <c r="R26" s="47"/>
      <c r="S26" s="47"/>
      <c r="T26" s="44"/>
      <c r="U26" s="47"/>
      <c r="V26" s="47"/>
    </row>
    <row r="27">
      <c r="A27" s="28" t="s">
        <v>60</v>
      </c>
      <c r="B27" s="32">
        <f t="array" ref="B27">IFERROR(IF(H27="","",LET(s,IFERROR(MATCH(TRUE,INDEX('はじめに入力'!$C$38:$N$38&gt;0,0),0),""),SUM(OFFSET('毎月の実績入力'!$C$16,0,s-1,1,$D$14-s+1)))),"")</f>
      </c>
      <c r="C27" s="34">
        <f t="array" ref="C27">IFERROR(IF(H27="","",LET(s,IFERROR(MATCH(TRUE,INDEX('はじめに入力'!$C$38:$N$38&gt;0,0),0),""),IFERROR(B27/SUM(OFFSET('はじめに入力'!$C$38,0,s-1,1,$D$14-s+1)),""))),"")</f>
      </c>
      <c r="D27" s="32">
        <f t="array" ref="D27">IFERROR(IF(H27="","",LET(s,IFERROR(MATCH(TRUE,INDEX('はじめに入力'!$C$38:$N$38&gt;0,0),0),""),SUM(OFFSET('毎月の実績入力'!$C$17,0,s-1,1,$D$14-s+1)))),"")</f>
      </c>
      <c r="E27" s="34">
        <f t="array" ref="E27">IFERROR(IF(H27="","",LET(s,IFERROR(MATCH(TRUE,INDEX('はじめに入力'!$C$38:$N$38&gt;0,0),0),""),IFERROR(D27/SUM(OFFSET('はじめに入力'!$C$39,0,s-1,1,$D$14-s+1)),""))),"")</f>
      </c>
      <c r="F27" s="32">
        <f>IF($D$14="","",IF(COUNT(OFFSET('毎月の実績入力'!$C$18,0,0,1,$D$14))=0,"",SUM(OFFSET('毎月の実績入力'!$C$18,0,0,1,$D$14))))</f>
      </c>
      <c r="G27" s="32">
        <f>IF($D$14="","",IF(COUNT(OFFSET('毎月の実績入力'!$C$19,0,0,1,$D$14))=0,"",SUM(OFFSET('毎月の実績入力'!$C$19,0,0,1,$D$14))))</f>
      </c>
      <c r="H27" s="32">
        <f t="array" ref="H27">IFERROR(LET(s,IFERROR(MATCH(TRUE,INDEX('はじめに入力'!$C$38:$N$38&gt;0,0),0),""),IF(OR($D$14="",s="",$D$14&lt;s),"",IF(INDEX('毎月の実績入力'!$C$16:$N$16,$D$14)="","",SUM(OFFSET('毎月の実績入力'!$C$20,0,s-1,1,$D$14-s+1))+SUM(OFFSET('はじめに入力'!$C$41,0,s-1,1,$D$14-s+1))))),"")</f>
      </c>
      <c r="I27" s="41">
        <f t="shared" ref="I27:I32" si="13">IF(H27="","",IFERROR(H27/B27,"―"))</f>
      </c>
      <c r="J27" s="75">
        <f t="array" ref="J27">IFERROR(IF(H27="","",LET(s,IFERROR(MATCH(TRUE,INDEX('はじめに入力'!$C$38:$N$38&gt;0,0),0),""),IF(SUM(OFFSET('毎月の実績入力'!$C$20,0,s-1,1,$D$14-s+1))=0,"費用なし",IF(OR(I27="―",I27&gt;'はじめに入力'!$I$7),"上限超え","上限内")))),"")</f>
      </c>
      <c r="K27" s="75">
        <f t="array" ref="K27">IFERROR(IF(H27="","",LET(s,IFERROR(MATCH(TRUE,INDEX('はじめに入力'!$C$38:$N$38&gt;0,0),0),""),IF($D$14&lt;s+6,"判定前",IF(J27="費用なし","判定しない",IF(AND(J27="上限超え",C27&lt;0.9),"撤退を検討","なし"))))),"")</f>
      </c>
      <c r="R27" s="47"/>
      <c r="S27" s="47"/>
      <c r="T27" s="44"/>
      <c r="U27" s="47"/>
      <c r="V27" s="47"/>
    </row>
    <row r="28">
      <c r="A28" s="28" t="s">
        <v>87</v>
      </c>
      <c r="B28" s="32">
        <f t="array" ref="B28">IFERROR(IF(H28="","",LET(s,IFERROR(MATCH(TRUE,INDEX('はじめに入力'!$C$44:$N$44&gt;0,0),0),""),SUM(OFFSET('毎月の実績入力'!$C$24,0,s-1,1,$D$14-s+1)))),"")</f>
      </c>
      <c r="C28" s="34">
        <f t="array" ref="C28">IFERROR(IF(H28="","",LET(s,IFERROR(MATCH(TRUE,INDEX('はじめに入力'!$C$44:$N$44&gt;0,0),0),""),IFERROR(B28/SUM(OFFSET('はじめに入力'!$C$44,0,s-1,1,$D$14-s+1)),""))),"")</f>
      </c>
      <c r="D28" s="32">
        <f t="array" ref="D28">IFERROR(IF(H28="","",LET(s,IFERROR(MATCH(TRUE,INDEX('はじめに入力'!$C$44:$N$44&gt;0,0),0),""),SUM(OFFSET('毎月の実績入力'!$C$25,0,s-1,1,$D$14-s+1)))),"")</f>
      </c>
      <c r="E28" s="34">
        <f t="array" ref="E28">IFERROR(IF(H28="","",LET(s,IFERROR(MATCH(TRUE,INDEX('はじめに入力'!$C$44:$N$44&gt;0,0),0),""),IFERROR(D28/SUM(OFFSET('はじめに入力'!$C$45,0,s-1,1,$D$14-s+1)),""))),"")</f>
      </c>
      <c r="F28" s="32">
        <f>IF($D$14="","",IF(COUNT(OFFSET('毎月の実績入力'!$C$26,0,0,1,$D$14))=0,"",SUM(OFFSET('毎月の実績入力'!$C$26,0,0,1,$D$14))))</f>
      </c>
      <c r="G28" s="32">
        <f>IF($D$14="","",IF(COUNT(OFFSET('毎月の実績入力'!$C$27,0,0,1,$D$14))=0,"",SUM(OFFSET('毎月の実績入力'!$C$27,0,0,1,$D$14))))</f>
      </c>
      <c r="H28" s="32">
        <f t="array" ref="H28">IFERROR(LET(s,IFERROR(MATCH(TRUE,INDEX('はじめに入力'!$C$44:$N$44&gt;0,0),0),""),IF(OR($D$14="",s="",$D$14&lt;s),"",IF(INDEX('毎月の実績入力'!$C$24:$N$24,$D$14)="","",SUM(OFFSET('毎月の実績入力'!$C$28,0,s-1,1,$D$14-s+1))+SUM(OFFSET('はじめに入力'!$C$47,0,s-1,1,$D$14-s+1))))),"")</f>
      </c>
      <c r="I28" s="41">
        <f t="shared" si="13"/>
      </c>
      <c r="J28" s="75">
        <f t="array" ref="J28">IFERROR(IF(H28="","",LET(s,IFERROR(MATCH(TRUE,INDEX('はじめに入力'!$C$44:$N$44&gt;0,0),0),""),IF(SUM(OFFSET('毎月の実績入力'!$C$28,0,s-1,1,$D$14-s+1))=0,"費用なし",IF(OR(I28="―",I28&gt;'はじめに入力'!$I$7),"上限超え","上限内")))),"")</f>
      </c>
      <c r="K28" s="75">
        <f t="array" ref="K28">IFERROR(IF(H28="","",LET(s,IFERROR(MATCH(TRUE,INDEX('はじめに入力'!$C$44:$N$44&gt;0,0),0),""),IF($D$14&lt;s+6,"判定前",IF(J28="費用なし","判定しない",IF(AND(J28="上限超え",C28&lt;0.9),"撤退を検討","なし"))))),"")</f>
      </c>
      <c r="R28" s="128"/>
      <c r="S28" s="128"/>
      <c r="T28" s="128"/>
      <c r="U28" s="128"/>
      <c r="V28" s="128"/>
    </row>
    <row r="29">
      <c r="A29" s="28" t="s">
        <v>66</v>
      </c>
      <c r="B29" s="32">
        <f t="array" ref="B29">IFERROR(IF(H29="","",LET(s,IFERROR(MATCH(TRUE,INDEX('はじめに入力'!$C$50:$N$50&gt;0,0),0),""),SUM(OFFSET('毎月の実績入力'!$C$32,0,s-1,1,$D$14-s+1)))),"")</f>
      </c>
      <c r="C29" s="34">
        <f t="array" ref="C29">IFERROR(IF(H29="","",LET(s,IFERROR(MATCH(TRUE,INDEX('はじめに入力'!$C$50:$N$50&gt;0,0),0),""),IFERROR(B29/SUM(OFFSET('はじめに入力'!$C$50,0,s-1,1,$D$14-s+1)),""))),"")</f>
      </c>
      <c r="D29" s="32">
        <f t="array" ref="D29">IFERROR(IF(H29="","",LET(s,IFERROR(MATCH(TRUE,INDEX('はじめに入力'!$C$50:$N$50&gt;0,0),0),""),SUM(OFFSET('毎月の実績入力'!$C$33,0,s-1,1,$D$14-s+1)))),"")</f>
      </c>
      <c r="E29" s="34">
        <f t="array" ref="E29">IFERROR(IF(H29="","",LET(s,IFERROR(MATCH(TRUE,INDEX('はじめに入力'!$C$50:$N$50&gt;0,0),0),""),IFERROR(D29/SUM(OFFSET('はじめに入力'!$C$51,0,s-1,1,$D$14-s+1)),""))),"")</f>
      </c>
      <c r="F29" s="32">
        <f>IF($D$14="","",IF(COUNT(OFFSET('毎月の実績入力'!$C$34,0,0,1,$D$14))=0,"",SUM(OFFSET('毎月の実績入力'!$C$34,0,0,1,$D$14))))</f>
      </c>
      <c r="G29" s="32">
        <f>IF($D$14="","",IF(COUNT(OFFSET('毎月の実績入力'!$C$35,0,0,1,$D$14))=0,"",SUM(OFFSET('毎月の実績入力'!$C$35,0,0,1,$D$14))))</f>
      </c>
      <c r="H29" s="32">
        <f t="array" ref="H29">IFERROR(LET(s,IFERROR(MATCH(TRUE,INDEX('はじめに入力'!$C$50:$N$50&gt;0,0),0),""),IF(OR($D$14="",s="",$D$14&lt;s),"",IF(INDEX('毎月の実績入力'!$C$32:$N$32,$D$14)="","",SUM(OFFSET('毎月の実績入力'!$C$36,0,s-1,1,$D$14-s+1))+SUM(OFFSET('はじめに入力'!$C$53,0,s-1,1,$D$14-s+1))))),"")</f>
      </c>
      <c r="I29" s="41">
        <f t="shared" si="13"/>
      </c>
      <c r="J29" s="75">
        <f t="array" ref="J29">IFERROR(IF(H29="","",LET(s,IFERROR(MATCH(TRUE,INDEX('はじめに入力'!$C$50:$N$50&gt;0,0),0),""),IF(SUM(OFFSET('毎月の実績入力'!$C$36,0,s-1,1,$D$14-s+1))=0,"費用なし",IF(OR(I29="―",I29&gt;'はじめに入力'!$I$7),"上限超え","上限内")))),"")</f>
      </c>
      <c r="K29" s="75">
        <f t="array" ref="K29">IFERROR(IF(H29="","",LET(s,IFERROR(MATCH(TRUE,INDEX('はじめに入力'!$C$50:$N$50&gt;0,0),0),""),IF($D$14&lt;s+6,"判定前",IF(J29="費用なし","判定しない",IF(AND(J29="上限超え",C29&lt;0.9),"撤退を検討","なし"))))),"")</f>
      </c>
      <c r="R29" s="140"/>
      <c r="S29" s="128"/>
      <c r="T29" s="128"/>
      <c r="U29" s="128"/>
      <c r="V29" s="128"/>
    </row>
    <row r="30">
      <c r="A30" s="28" t="s">
        <v>46</v>
      </c>
      <c r="B30" s="32">
        <f t="array" ref="B30">IFERROR(IF(H30="","",LET(s,IFERROR(MATCH(TRUE,INDEX('はじめに入力'!$C$56:$N$56&gt;0,0),0),""),SUM(OFFSET('毎月の実績入力'!$C$40,0,s-1,1,$D$14-s+1)))),"")</f>
      </c>
      <c r="C30" s="34">
        <f t="array" ref="C30">IFERROR(IF(H30="","",LET(s,IFERROR(MATCH(TRUE,INDEX('はじめに入力'!$C$56:$N$56&gt;0,0),0),""),IFERROR(B30/SUM(OFFSET('はじめに入力'!$C$56,0,s-1,1,$D$14-s+1)),""))),"")</f>
      </c>
      <c r="D30" s="32">
        <f t="array" ref="D30">IFERROR(IF(H30="","",LET(s,IFERROR(MATCH(TRUE,INDEX('はじめに入力'!$C$56:$N$56&gt;0,0),0),""),SUM(OFFSET('毎月の実績入力'!$C$41,0,s-1,1,$D$14-s+1)))),"")</f>
      </c>
      <c r="E30" s="34">
        <f t="array" ref="E30">IFERROR(IF(H30="","",LET(s,IFERROR(MATCH(TRUE,INDEX('はじめに入力'!$C$56:$N$56&gt;0,0),0),""),IFERROR(D30/SUM(OFFSET('はじめに入力'!$C$57,0,s-1,1,$D$14-s+1)),""))),"")</f>
      </c>
      <c r="F30" s="32">
        <f>IF($D$14="","",IF(COUNT(OFFSET('毎月の実績入力'!$C$42,0,0,1,$D$14))=0,"",SUM(OFFSET('毎月の実績入力'!$C$42,0,0,1,$D$14))))</f>
      </c>
      <c r="G30" s="32">
        <f>IF($D$14="","",IF(COUNT(OFFSET('毎月の実績入力'!$C$43,0,0,1,$D$14))=0,"",SUM(OFFSET('毎月の実績入力'!$C$43,0,0,1,$D$14))))</f>
      </c>
      <c r="H30" s="32">
        <f t="array" ref="H30">IFERROR(LET(s,IFERROR(MATCH(TRUE,INDEX('はじめに入力'!$C$56:$N$56&gt;0,0),0),""),IF(OR($D$14="",s="",$D$14&lt;s),"",IF(INDEX('毎月の実績入力'!$C$40:$N$40,$D$14)="","",SUM(OFFSET('毎月の実績入力'!$C$44,0,s-1,1,$D$14-s+1))+SUM(OFFSET('はじめに入力'!$C$59,0,s-1,1,$D$14-s+1))))),"")</f>
      </c>
      <c r="I30" s="41">
        <f t="shared" si="13"/>
      </c>
      <c r="J30" s="75">
        <f t="array" ref="J30">IFERROR(IF(H30="","",LET(s,IFERROR(MATCH(TRUE,INDEX('はじめに入力'!$C$56:$N$56&gt;0,0),0),""),IF(SUM(OFFSET('毎月の実績入力'!$C$44,0,s-1,1,$D$14-s+1))=0,"費用なし",IF(OR(I30="―",I30&gt;'はじめに入力'!$I$7),"上限超え","上限内")))),"")</f>
      </c>
      <c r="K30" s="75">
        <f t="array" ref="K30">IFERROR(IF(H30="","",LET(s,IFERROR(MATCH(TRUE,INDEX('はじめに入力'!$C$56:$N$56&gt;0,0),0),""),IF($D$14&lt;s+6,"判定前",IF(J30="費用なし","判定しない",IF(AND(J30="上限超え",C30&lt;0.9),"撤退を検討","なし"))))),"")</f>
      </c>
      <c r="R30" s="47"/>
      <c r="S30" s="47"/>
      <c r="T30" s="44"/>
      <c r="U30" s="47"/>
      <c r="V30" s="47"/>
    </row>
    <row r="31">
      <c r="A31" s="28" t="s">
        <v>99</v>
      </c>
      <c r="B31" s="32">
        <f t="array" ref="B31">IFERROR(IF(H31="","",LET(s,IFERROR(MATCH(TRUE,INDEX('はじめに入力'!$C$62:$N$62&gt;0,0),0),""),SUM(OFFSET('毎月の実績入力'!$C$48,0,s-1,1,$D$14-s+1)))),"")</f>
      </c>
      <c r="C31" s="34">
        <f t="array" ref="C31">IFERROR(IF(H31="","",LET(s,IFERROR(MATCH(TRUE,INDEX('はじめに入力'!$C$62:$N$62&gt;0,0),0),""),IFERROR(B31/SUM(OFFSET('はじめに入力'!$C$62,0,s-1,1,$D$14-s+1)),""))),"")</f>
      </c>
      <c r="D31" s="32">
        <f t="array" ref="D31">IFERROR(IF(H31="","",LET(s,IFERROR(MATCH(TRUE,INDEX('はじめに入力'!$C$62:$N$62&gt;0,0),0),""),SUM(OFFSET('毎月の実績入力'!$C$49,0,s-1,1,$D$14-s+1)))),"")</f>
      </c>
      <c r="E31" s="34">
        <f t="array" ref="E31">IFERROR(IF(H31="","",LET(s,IFERROR(MATCH(TRUE,INDEX('はじめに入力'!$C$62:$N$62&gt;0,0),0),""),IFERROR(D31/SUM(OFFSET('はじめに入力'!$C$63,0,s-1,1,$D$14-s+1)),""))),"")</f>
      </c>
      <c r="F31" s="32">
        <f>IF($D$14="","",IF(COUNT(OFFSET('毎月の実績入力'!$C$50,0,0,1,$D$14))=0,"",SUM(OFFSET('毎月の実績入力'!$C$50,0,0,1,$D$14))))</f>
      </c>
      <c r="G31" s="32">
        <f>IF($D$14="","",IF(COUNT(OFFSET('毎月の実績入力'!$C$51,0,0,1,$D$14))=0,"",SUM(OFFSET('毎月の実績入力'!$C$51,0,0,1,$D$14))))</f>
      </c>
      <c r="H31" s="32">
        <f t="array" ref="H31">IFERROR(LET(s,IFERROR(MATCH(TRUE,INDEX('はじめに入力'!$C$62:$N$62&gt;0,0),0),""),IF(OR($D$14="",s="",$D$14&lt;s),"",IF(INDEX('毎月の実績入力'!$C$48:$N$48,$D$14)="","",SUM(OFFSET('毎月の実績入力'!$C$52,0,s-1,1,$D$14-s+1))+SUM(OFFSET('はじめに入力'!$C$65,0,s-1,1,$D$14-s+1))))),"")</f>
      </c>
      <c r="I31" s="41">
        <f t="shared" si="13"/>
      </c>
      <c r="J31" s="75">
        <f t="array" ref="J31">IFERROR(IF(H31="","",LET(s,IFERROR(MATCH(TRUE,INDEX('はじめに入力'!$C$62:$N$62&gt;0,0),0),""),IF(SUM(OFFSET('毎月の実績入力'!$C$52,0,s-1,1,$D$14-s+1))=0,"費用なし",IF(OR(I31="―",I31&gt;'はじめに入力'!$I$7),"上限超え","上限内")))),"")</f>
      </c>
      <c r="K31" s="75">
        <f t="array" ref="K31">IFERROR(IF(H31="","",LET(s,IFERROR(MATCH(TRUE,INDEX('はじめに入力'!$C$62:$N$62&gt;0,0),0),""),IF($D$14&lt;s+6,"判定前",IF(J31="費用なし","判定しない",IF(AND(J31="上限超え",C31&lt;0.9),"撤退を検討","なし"))))),"")</f>
      </c>
      <c r="R31" s="47"/>
      <c r="S31" s="47"/>
      <c r="T31" s="44"/>
      <c r="U31" s="47"/>
      <c r="V31" s="47"/>
    </row>
    <row r="32">
      <c r="A32" s="28" t="s">
        <v>62</v>
      </c>
      <c r="B32" s="32">
        <f t="array" ref="B32">IFERROR(IF(H32="","",LET(s,IFERROR(MATCH(TRUE,INDEX('はじめに入力'!$C$68:$N$68&gt;0,0),0),""),SUM(OFFSET('毎月の実績入力'!$C$56,0,s-1,1,$D$14-s+1)))),"")</f>
      </c>
      <c r="C32" s="34">
        <f t="array" ref="C32">IFERROR(IF(H32="","",LET(s,IFERROR(MATCH(TRUE,INDEX('はじめに入力'!$C$68:$N$68&gt;0,0),0),""),IFERROR(B32/SUM(OFFSET('はじめに入力'!$C$68,0,s-1,1,$D$14-s+1)),""))),"")</f>
      </c>
      <c r="D32" s="32">
        <f t="array" ref="D32">IFERROR(IF(H32="","",LET(s,IFERROR(MATCH(TRUE,INDEX('はじめに入力'!$C$68:$N$68&gt;0,0),0),""),SUM(OFFSET('毎月の実績入力'!$C$57,0,s-1,1,$D$14-s+1)))),"")</f>
      </c>
      <c r="E32" s="34">
        <f t="array" ref="E32">IFERROR(IF(H32="","",LET(s,IFERROR(MATCH(TRUE,INDEX('はじめに入力'!$C$68:$N$68&gt;0,0),0),""),IFERROR(D32/SUM(OFFSET('はじめに入力'!$C$69,0,s-1,1,$D$14-s+1)),""))),"")</f>
      </c>
      <c r="F32" s="32">
        <f>IF($D$14="","",IF(COUNT(OFFSET('毎月の実績入力'!$C$58,0,0,1,$D$14))=0,"",SUM(OFFSET('毎月の実績入力'!$C$58,0,0,1,$D$14))))</f>
      </c>
      <c r="G32" s="32">
        <f>IF($D$14="","",IF(COUNT(OFFSET('毎月の実績入力'!$C$59,0,0,1,$D$14))=0,"",SUM(OFFSET('毎月の実績入力'!$C$59,0,0,1,$D$14))))</f>
      </c>
      <c r="H32" s="32">
        <f t="array" ref="H32">IFERROR(LET(s,IFERROR(MATCH(TRUE,INDEX('はじめに入力'!$C$68:$N$68&gt;0,0),0),""),IF(OR($D$14="",s="",$D$14&lt;s),"",IF(INDEX('毎月の実績入力'!$C$56:$N$56,$D$14)="","",SUM(OFFSET('毎月の実績入力'!$C$60,0,s-1,1,$D$14-s+1))+SUM(OFFSET('はじめに入力'!$C$71,0,s-1,1,$D$14-s+1))))),"")</f>
      </c>
      <c r="I32" s="41">
        <f t="shared" si="13"/>
      </c>
      <c r="J32" s="75">
        <f t="array" ref="J32">IFERROR(IF(H32="","",LET(s,IFERROR(MATCH(TRUE,INDEX('はじめに入力'!$C$68:$N$68&gt;0,0),0),""),IF(SUM(OFFSET('毎月の実績入力'!$C$60,0,s-1,1,$D$14-s+1))=0,"費用なし",IF(OR(I32="―",I32&gt;'はじめに入力'!$I$7),"上限超え","上限内")))),"")</f>
      </c>
      <c r="K32" s="75">
        <f t="array" ref="K32">IFERROR(IF(H32="","",LET(s,IFERROR(MATCH(TRUE,INDEX('はじめに入力'!$C$68:$N$68&gt;0,0),0),""),IF($D$14&lt;s+6,"判定前",IF(J32="費用なし","判定しない",IF(AND(J32="上限超え",C32&lt;0.9),"撤退を検討","なし"))))),"")</f>
      </c>
      <c r="R32" s="47"/>
      <c r="S32" s="47"/>
      <c r="T32" s="44"/>
      <c r="U32" s="47"/>
      <c r="V32" s="47"/>
    </row>
    <row r="33">
      <c r="A33" s="3" t="s">
        <v>196</v>
      </c>
      <c r="B33" s="2"/>
      <c r="C33" s="2"/>
      <c r="D33" s="2"/>
      <c r="E33" s="2"/>
      <c r="F33" s="2"/>
      <c r="G33" s="2"/>
      <c r="H33" s="2"/>
      <c r="I33" s="2"/>
      <c r="J33" s="2"/>
    </row>
    <row r="35" ht="15.75" customHeight="1">
      <c r="A35" s="151" t="s">
        <v>197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ht="15.75" customHeight="1">
      <c r="A36" s="153" t="s">
        <v>198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</row>
    <row r="37" ht="15.75" customHeight="1">
      <c r="A37" s="154" t="s">
        <v>199</v>
      </c>
      <c r="B37" s="154" t="s">
        <v>13</v>
      </c>
      <c r="C37" s="155" t="s">
        <v>14</v>
      </c>
      <c r="D37" s="12"/>
      <c r="E37" s="13"/>
      <c r="F37" s="155" t="s">
        <v>24</v>
      </c>
      <c r="G37" s="12"/>
      <c r="H37" s="12"/>
      <c r="I37" s="12"/>
      <c r="J37" s="13"/>
      <c r="K37" s="154" t="s">
        <v>27</v>
      </c>
      <c r="L37" s="154" t="s">
        <v>28</v>
      </c>
      <c r="M37" s="154" t="s">
        <v>30</v>
      </c>
      <c r="Z37" s="27" t="s">
        <v>200</v>
      </c>
    </row>
    <row r="38">
      <c r="A38" s="156">
        <f t="shared" ref="A38:A48" si="14">IFERROR(INDEX($Z$38:$AF$89,ROW()-37,1)&amp;"","")</f>
      </c>
      <c r="B38" s="157">
        <f t="shared" ref="B38:B48" si="15">IFERROR(INDEX($Z$38:$AF$89,ROW()-37,2)&amp;"","")</f>
      </c>
      <c r="C38" s="158">
        <f t="shared" ref="C38:C48" si="16">IFERROR(INDEX($Z$38:$AF$89,ROW()-37,3)&amp;"","")</f>
      </c>
      <c r="D38" s="12"/>
      <c r="E38" s="13"/>
      <c r="F38" s="159">
        <f t="shared" ref="F38:F48" si="17">IFERROR(INDEX($Z$38:$AF$89,ROW()-37,4)&amp;"","")</f>
      </c>
      <c r="G38" s="12"/>
      <c r="H38" s="12"/>
      <c r="I38" s="12"/>
      <c r="J38" s="13"/>
      <c r="K38" s="156">
        <f t="shared" ref="K38:K48" si="18">IFERROR(INDEX($Z$38:$AF$89,ROW()-37,5)&amp;"","")</f>
      </c>
      <c r="L38" s="160">
        <f t="shared" ref="L38:L48" si="19">IFERROR(INDEX($Z$38:$AF$89,ROW()-37,6)&amp;"","")</f>
      </c>
      <c r="M38" s="161">
        <f t="shared" ref="M38:M48" si="20">IFERROR(INDEX($Z$38:$AF$89,ROW()-37,7)&amp;"","")</f>
      </c>
      <c r="Z38" s="85">
        <f>IFERROR(__xludf.DUMMYFUNCTION("IFERROR(LET(m,$B$14,a,IFERROR(FILTER(HSTACK('施策ログ'!$B$5:$B$198,'施策ログ'!$C$5:$C$198,'施策ログ'!$D$5:$D$198,'施策ログ'!$G$5:$G$198,'施策ログ'!$L$5:$L$198,'施策ログ'!$M$5:$M$198,IF('施策ログ'!$A$5:$A$198=m,""登録済み"","""")),'施策ログ'!$A$5:$A$198=m,'施策ログ'!$G$5:$G$198&lt;&gt;""""),{"""","""""&amp;","""","""","""","""",""""}),b,IFERROR(FILTER(HSTACK($A$53:$A$82,$B$53:$B$82,$C$53:$C$82,$F$53:$F$82,$M$53:$M$82,$L$53:$L$82,IF($K$53:$K$82=m,""未登録"","""")),$K$53:$K$82=m,$F$53:$F$82&lt;&gt;"""",COUNTIFS('施策ログ'!$A$5:$A$198,m,'施策ログ'!$G$5:$G$198,$F$53:$F$82)=0),{"&amp;""""","""","""","""","""","""",""""}),v,VSTACK(a,b),FILTER(v,CHOOSECOLS(v,4)&lt;&gt;"""")),"""")"),"受注率")</f>
      </c>
      <c r="AA38" s="85">
        <f>IFERROR(__xludf.DUMMYFUNCTION("""COMPUTED_VALUE"""),"全体")</f>
      </c>
      <c r="AB38" s="85">
        <f>IFERROR(__xludf.DUMMYFUNCTION("""COMPUTED_VALUE"""),"商談で使う事例・サポートの資料が足りない")</f>
      </c>
      <c r="AC38" s="85">
        <f>IFERROR(__xludf.DUMMYFUNCTION("""COMPUTED_VALUE"""),"導入事例とサポート体制の資料をマーケが営業に用意する")</f>
      </c>
      <c r="AD38" s="85">
        <f>IFERROR(__xludf.DUMMYFUNCTION("""COMPUTED_VALUE"""),"10月")</f>
      </c>
      <c r="AE38" s="85">
        <f>IFERROR(__xludf.DUMMYFUNCTION("""COMPUTED_VALUE"""),"9月まで：受注率20%（計画29%）")</f>
      </c>
      <c r="AF38" s="85">
        <f>IFERROR(__xludf.DUMMYFUNCTION("""COMPUTED_VALUE"""),"登録済み")</f>
      </c>
    </row>
    <row r="39">
      <c r="A39" s="156">
        <f t="shared" si="14"/>
      </c>
      <c r="B39" s="157">
        <f t="shared" si="15"/>
      </c>
      <c r="C39" s="158">
        <f t="shared" si="16"/>
      </c>
      <c r="D39" s="12"/>
      <c r="E39" s="13"/>
      <c r="F39" s="159">
        <f t="shared" si="17"/>
      </c>
      <c r="G39" s="12"/>
      <c r="H39" s="12"/>
      <c r="I39" s="12"/>
      <c r="J39" s="13"/>
      <c r="K39" s="156">
        <f t="shared" si="18"/>
      </c>
      <c r="L39" s="160">
        <f t="shared" si="19"/>
      </c>
      <c r="M39" s="161">
        <f t="shared" si="20"/>
      </c>
      <c r="Z39" s="85">
        <f>IFERROR(__xludf.DUMMYFUNCTION("""COMPUTED_VALUE"""),"リード数")</f>
      </c>
      <c r="AA39" s="85">
        <f>IFERROR(__xludf.DUMMYFUNCTION("""COMPUTED_VALUE"""),"メール")</f>
      </c>
      <c r="AB39" s="85">
        <f>IFERROR(__xludf.DUMMYFUNCTION("""COMPUTED_VALUE"""),"接点のあった人が配信リストに入っていない")</f>
      </c>
      <c r="AC39" s="85">
        <f>IFERROR(__xludf.DUMMYFUNCTION("""COMPUTED_VALUE"""),"名刺交換・展示会・セミナー・資料DLで接点を持った人を法律に沿ってリストに入れ、フォームに配信の同意欄を置く")</f>
      </c>
      <c r="AD39" s="85">
        <f>IFERROR(__xludf.DUMMYFUNCTION("""COMPUTED_VALUE"""),"10月")</f>
      </c>
      <c r="AE39" s="85">
        <f>IFERROR(__xludf.DUMMYFUNCTION("""COMPUTED_VALUE"""),"9月まで：実績8件（計画9件・達成率89%）")</f>
      </c>
      <c r="AF39" s="85">
        <f>IFERROR(__xludf.DUMMYFUNCTION("""COMPUTED_VALUE"""),"登録済み")</f>
      </c>
    </row>
    <row r="40">
      <c r="A40" s="156">
        <f t="shared" si="14"/>
      </c>
      <c r="B40" s="157">
        <f t="shared" si="15"/>
      </c>
      <c r="C40" s="158">
        <f t="shared" si="16"/>
      </c>
      <c r="D40" s="12"/>
      <c r="E40" s="13"/>
      <c r="F40" s="158">
        <f t="shared" si="17"/>
      </c>
      <c r="G40" s="12"/>
      <c r="H40" s="12"/>
      <c r="I40" s="12"/>
      <c r="J40" s="13"/>
      <c r="K40" s="157">
        <f t="shared" si="18"/>
      </c>
      <c r="L40" s="160">
        <f t="shared" si="19"/>
      </c>
      <c r="M40" s="162">
        <f t="shared" si="20"/>
      </c>
      <c r="Z40" s="85">
        <f>IFERROR(__xludf.DUMMYFUNCTION("""COMPUTED_VALUE"""),"リード数")</f>
      </c>
      <c r="AA40" s="85">
        <f>IFERROR(__xludf.DUMMYFUNCTION("""COMPUTED_VALUE"""),"展示会")</f>
      </c>
      <c r="AB40" s="85">
        <f>IFERROR(__xludf.DUMMYFUNCTION("""COMPUTED_VALUE"""),"ブースで売り込みが強く、質問に答えられる人がいない")</f>
      </c>
      <c r="AC40" s="85">
        <f>IFERROR(__xludf.DUMMYFUNCTION("""COMPUTED_VALUE"""),"質問に答えられる技術者を立て、導入事例を見せる")</f>
      </c>
      <c r="AD40" s="85">
        <f>IFERROR(__xludf.DUMMYFUNCTION("""COMPUTED_VALUE"""),"2月")</f>
      </c>
      <c r="AE40" s="85">
        <f>IFERROR(__xludf.DUMMYFUNCTION("""COMPUTED_VALUE"""),"9月まで：実績92件（計画110件・達成率84%）")</f>
      </c>
      <c r="AF40" s="85">
        <f>IFERROR(__xludf.DUMMYFUNCTION("""COMPUTED_VALUE"""),"登録済み")</f>
      </c>
    </row>
    <row r="41">
      <c r="A41" s="156">
        <f t="shared" si="14"/>
      </c>
      <c r="B41" s="157">
        <f t="shared" si="15"/>
      </c>
      <c r="C41" s="158">
        <f t="shared" si="16"/>
      </c>
      <c r="D41" s="12"/>
      <c r="E41" s="13"/>
      <c r="F41" s="158">
        <f t="shared" si="17"/>
      </c>
      <c r="G41" s="12"/>
      <c r="H41" s="12"/>
      <c r="I41" s="12"/>
      <c r="J41" s="13"/>
      <c r="K41" s="157">
        <f t="shared" si="18"/>
      </c>
      <c r="L41" s="160">
        <f t="shared" si="19"/>
      </c>
      <c r="M41" s="162">
        <f t="shared" si="20"/>
      </c>
    </row>
    <row r="42">
      <c r="A42" s="156">
        <f t="shared" si="14"/>
      </c>
      <c r="B42" s="157">
        <f t="shared" si="15"/>
      </c>
      <c r="C42" s="158">
        <f t="shared" si="16"/>
      </c>
      <c r="D42" s="12"/>
      <c r="E42" s="13"/>
      <c r="F42" s="158">
        <f t="shared" si="17"/>
      </c>
      <c r="G42" s="12"/>
      <c r="H42" s="12"/>
      <c r="I42" s="12"/>
      <c r="J42" s="13"/>
      <c r="K42" s="157">
        <f t="shared" si="18"/>
      </c>
      <c r="L42" s="160">
        <f t="shared" si="19"/>
      </c>
      <c r="M42" s="162">
        <f t="shared" si="20"/>
      </c>
    </row>
    <row r="43">
      <c r="A43" s="156">
        <f t="shared" si="14"/>
      </c>
      <c r="B43" s="157">
        <f t="shared" si="15"/>
      </c>
      <c r="C43" s="158">
        <f t="shared" si="16"/>
      </c>
      <c r="D43" s="12"/>
      <c r="E43" s="13"/>
      <c r="F43" s="158">
        <f t="shared" si="17"/>
      </c>
      <c r="G43" s="12"/>
      <c r="H43" s="12"/>
      <c r="I43" s="12"/>
      <c r="J43" s="13"/>
      <c r="K43" s="157">
        <f t="shared" si="18"/>
      </c>
      <c r="L43" s="160">
        <f t="shared" si="19"/>
      </c>
      <c r="M43" s="162">
        <f t="shared" si="20"/>
      </c>
    </row>
    <row r="44">
      <c r="A44" s="156">
        <f t="shared" si="14"/>
      </c>
      <c r="B44" s="157">
        <f t="shared" si="15"/>
      </c>
      <c r="C44" s="158">
        <f t="shared" si="16"/>
      </c>
      <c r="D44" s="12"/>
      <c r="E44" s="13"/>
      <c r="F44" s="158">
        <f t="shared" si="17"/>
      </c>
      <c r="G44" s="12"/>
      <c r="H44" s="12"/>
      <c r="I44" s="12"/>
      <c r="J44" s="13"/>
      <c r="K44" s="157">
        <f t="shared" si="18"/>
      </c>
      <c r="L44" s="160">
        <f t="shared" si="19"/>
      </c>
      <c r="M44" s="162">
        <f t="shared" si="20"/>
      </c>
    </row>
    <row r="45">
      <c r="A45" s="156">
        <f t="shared" si="14"/>
      </c>
      <c r="B45" s="157">
        <f t="shared" si="15"/>
      </c>
      <c r="C45" s="158">
        <f t="shared" si="16"/>
      </c>
      <c r="D45" s="12"/>
      <c r="E45" s="13"/>
      <c r="F45" s="158">
        <f t="shared" si="17"/>
      </c>
      <c r="G45" s="12"/>
      <c r="H45" s="12"/>
      <c r="I45" s="12"/>
      <c r="J45" s="13"/>
      <c r="K45" s="157">
        <f t="shared" si="18"/>
      </c>
      <c r="L45" s="160">
        <f t="shared" si="19"/>
      </c>
      <c r="M45" s="162">
        <f t="shared" si="20"/>
      </c>
    </row>
    <row r="46">
      <c r="A46" s="156">
        <f t="shared" si="14"/>
      </c>
      <c r="B46" s="157">
        <f t="shared" si="15"/>
      </c>
      <c r="C46" s="158">
        <f t="shared" si="16"/>
      </c>
      <c r="D46" s="12"/>
      <c r="E46" s="13"/>
      <c r="F46" s="158">
        <f t="shared" si="17"/>
      </c>
      <c r="G46" s="12"/>
      <c r="H46" s="12"/>
      <c r="I46" s="12"/>
      <c r="J46" s="13"/>
      <c r="K46" s="157">
        <f t="shared" si="18"/>
      </c>
      <c r="L46" s="160">
        <f t="shared" si="19"/>
      </c>
      <c r="M46" s="162">
        <f t="shared" si="20"/>
      </c>
    </row>
    <row r="47">
      <c r="A47" s="163">
        <f t="shared" si="14"/>
      </c>
      <c r="B47" s="157">
        <f t="shared" si="15"/>
      </c>
      <c r="C47" s="158">
        <f t="shared" si="16"/>
      </c>
      <c r="D47" s="12"/>
      <c r="E47" s="13"/>
      <c r="F47" s="158">
        <f t="shared" si="17"/>
      </c>
      <c r="G47" s="12"/>
      <c r="H47" s="12"/>
      <c r="I47" s="12"/>
      <c r="J47" s="13"/>
      <c r="K47" s="157">
        <f t="shared" si="18"/>
      </c>
      <c r="L47" s="160">
        <f t="shared" si="19"/>
      </c>
      <c r="M47" s="162">
        <f t="shared" si="20"/>
      </c>
    </row>
    <row r="48">
      <c r="A48" s="163">
        <f t="shared" si="14"/>
      </c>
      <c r="B48" s="157">
        <f t="shared" si="15"/>
      </c>
      <c r="C48" s="158">
        <f t="shared" si="16"/>
      </c>
      <c r="D48" s="12"/>
      <c r="E48" s="13"/>
      <c r="F48" s="158">
        <f t="shared" si="17"/>
      </c>
      <c r="G48" s="12"/>
      <c r="H48" s="12"/>
      <c r="I48" s="12"/>
      <c r="J48" s="13"/>
      <c r="K48" s="157">
        <f t="shared" si="18"/>
      </c>
      <c r="L48" s="160">
        <f t="shared" si="19"/>
      </c>
      <c r="M48" s="162">
        <f t="shared" si="20"/>
      </c>
    </row>
    <row r="49" ht="15.75" customHeight="1">
      <c r="A49" s="164"/>
    </row>
    <row r="50" ht="15.75" customHeight="1">
      <c r="A50" s="151" t="s">
        <v>201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</row>
    <row r="51" ht="25.5" customHeight="1">
      <c r="A51" s="165" t="s">
        <v>202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</row>
    <row r="52" ht="25.5" customHeight="1">
      <c r="A52" s="167" t="s">
        <v>199</v>
      </c>
      <c r="B52" s="167" t="s">
        <v>13</v>
      </c>
      <c r="C52" s="168" t="s">
        <v>14</v>
      </c>
      <c r="D52" s="12"/>
      <c r="E52" s="13"/>
      <c r="F52" s="168" t="s">
        <v>24</v>
      </c>
      <c r="G52" s="12"/>
      <c r="H52" s="12"/>
      <c r="I52" s="12"/>
      <c r="J52" s="13"/>
      <c r="K52" s="167" t="s">
        <v>203</v>
      </c>
      <c r="L52" s="167" t="s">
        <v>204</v>
      </c>
      <c r="M52" s="167" t="s">
        <v>27</v>
      </c>
      <c r="N52" s="167" t="s">
        <v>205</v>
      </c>
    </row>
    <row r="53" ht="25.5" customHeight="1">
      <c r="A53" s="169" t="s">
        <v>34</v>
      </c>
      <c r="B53" s="169" t="s">
        <v>60</v>
      </c>
      <c r="C53" s="170" t="s">
        <v>81</v>
      </c>
      <c r="D53" s="12"/>
      <c r="E53" s="13"/>
      <c r="F53" s="170" t="s">
        <v>82</v>
      </c>
      <c r="G53" s="12"/>
      <c r="H53" s="12"/>
      <c r="I53" s="12"/>
      <c r="J53" s="13"/>
      <c r="K53" s="171"/>
      <c r="L53" s="172">
        <f t="shared" ref="L53:L82" si="21">IF($X53,$B$14&amp;"まで："&amp;$Y53,"")</f>
      </c>
      <c r="M53" s="171"/>
      <c r="N53" s="173">
        <f>IF($F53="","",IF(COUNTIFS('施策ログ'!$A$5:$A$198,$B$14,'施策ログ'!$G$5:$G$198,$F53)&gt;0,"✓",""))</f>
      </c>
      <c r="X53" s="85">
        <f t="shared" ref="X53:X108" si="22">IF($F53="",FALSE,IF($B53="共通",COUNTIFS($S$6:$S$25,$A53,$T$6:$T$25,"&lt;1")&gt;0,COUNTIFS($S$6:$S$25,$A53,$R$6:$R$25,$B53,$T$6:$T$25,"&lt;1")&gt;0))</f>
      </c>
      <c r="Y53" s="85">
        <f>IFERROR(__xludf.DUMMYFUNCTION("IF(NOT(X53),"""",IF($B53=""共通"",TEXTJOIN(""／"",TRUE,FILTER($R$6:$R$25&amp;"" ""&amp;$U$6:$U$25,$S$6:$S$25=$A53,$T$6:$T$25&lt;1,$T$6:$T$25&lt;&gt;"""")),IFERROR(INDEX(FILTER($U$6:$U$25,$S$6:$S$25=$A53,$R$6:$R$25=$B53),1),"""")))"),"実績92件（計画110件・達成率84%）")</f>
      </c>
    </row>
    <row r="54" ht="25.5" customHeight="1">
      <c r="A54" s="169" t="s">
        <v>34</v>
      </c>
      <c r="B54" s="169" t="s">
        <v>60</v>
      </c>
      <c r="C54" s="170" t="s">
        <v>122</v>
      </c>
      <c r="D54" s="12"/>
      <c r="E54" s="13"/>
      <c r="F54" s="170" t="s">
        <v>123</v>
      </c>
      <c r="G54" s="12"/>
      <c r="H54" s="12"/>
      <c r="I54" s="12"/>
      <c r="J54" s="13"/>
      <c r="K54" s="171"/>
      <c r="L54" s="172">
        <f t="shared" si="21"/>
      </c>
      <c r="M54" s="171"/>
      <c r="N54" s="173">
        <f>IF($F54="","",IF(COUNTIFS('施策ログ'!$A$5:$A$198,$B$14,'施策ログ'!$G$5:$G$198,$F54)&gt;0,"✓",""))</f>
      </c>
      <c r="X54" s="85">
        <f t="shared" si="22"/>
      </c>
      <c r="Y54" s="85">
        <f>IFERROR(__xludf.DUMMYFUNCTION("IF(NOT(X54),"""",IF($B54=""共通"",TEXTJOIN(""／"",TRUE,FILTER($R$6:$R$25&amp;"" ""&amp;$U$6:$U$25,$S$6:$S$25=$A54,$T$6:$T$25&lt;1,$T$6:$T$25&lt;&gt;"""")),IFERROR(INDEX(FILTER($U$6:$U$25,$S$6:$S$25=$A54,$R$6:$R$25=$B54),1),"""")))"),"実績92件（計画110件・達成率84%）")</f>
      </c>
    </row>
    <row r="55" ht="25.5" customHeight="1">
      <c r="A55" s="169" t="s">
        <v>36</v>
      </c>
      <c r="B55" s="169" t="s">
        <v>60</v>
      </c>
      <c r="C55" s="170" t="s">
        <v>206</v>
      </c>
      <c r="D55" s="12"/>
      <c r="E55" s="13"/>
      <c r="F55" s="170" t="s">
        <v>207</v>
      </c>
      <c r="G55" s="12"/>
      <c r="H55" s="12"/>
      <c r="I55" s="12"/>
      <c r="J55" s="13"/>
      <c r="K55" s="171"/>
      <c r="L55" s="172">
        <f t="shared" si="21"/>
      </c>
      <c r="M55" s="171"/>
      <c r="N55" s="173">
        <f>IF($F55="","",IF(COUNTIFS('施策ログ'!$A$5:$A$198,$B$14,'施策ログ'!$G$5:$G$198,$F55)&gt;0,"✓",""))</f>
      </c>
      <c r="X55" s="85">
        <f t="shared" si="22"/>
      </c>
      <c r="Y55" s="85">
        <f>IFERROR(__xludf.DUMMYFUNCTION("IF(NOT(X55),"""",IF($B55=""共通"",TEXTJOIN(""／"",TRUE,FILTER($R$6:$R$25&amp;"" ""&amp;$U$6:$U$25,$S$6:$S$25=$A55,$T$6:$T$25&lt;1,$T$6:$T$25&lt;&gt;"""")),IFERROR(INDEX(FILTER($U$6:$U$25,$S$6:$S$25=$A55,$R$6:$R$25=$B55),1),"""")))"),"")</f>
      </c>
    </row>
    <row r="56" ht="25.5" customHeight="1">
      <c r="A56" s="169" t="s">
        <v>36</v>
      </c>
      <c r="B56" s="169" t="s">
        <v>60</v>
      </c>
      <c r="C56" s="170" t="s">
        <v>84</v>
      </c>
      <c r="D56" s="12"/>
      <c r="E56" s="13"/>
      <c r="F56" s="170" t="s">
        <v>85</v>
      </c>
      <c r="G56" s="12"/>
      <c r="H56" s="12"/>
      <c r="I56" s="12"/>
      <c r="J56" s="13"/>
      <c r="K56" s="171"/>
      <c r="L56" s="172">
        <f t="shared" si="21"/>
      </c>
      <c r="M56" s="171"/>
      <c r="N56" s="173">
        <f>IF($F56="","",IF(COUNTIFS('施策ログ'!$A$5:$A$198,$B$14,'施策ログ'!$G$5:$G$198,$F56)&gt;0,"✓",""))</f>
      </c>
      <c r="X56" s="85">
        <f t="shared" si="22"/>
      </c>
      <c r="Y56" s="85">
        <f>IFERROR(__xludf.DUMMYFUNCTION("IF(NOT(X56),"""",IF($B56=""共通"",TEXTJOIN(""／"",TRUE,FILTER($R$6:$R$25&amp;"" ""&amp;$U$6:$U$25,$S$6:$S$25=$A56,$T$6:$T$25&lt;1,$T$6:$T$25&lt;&gt;"""")),IFERROR(INDEX(FILTER($U$6:$U$25,$S$6:$S$25=$A56,$R$6:$R$25=$B56),1),"""")))"),"")</f>
      </c>
    </row>
    <row r="57" ht="25.5" customHeight="1">
      <c r="A57" s="169" t="s">
        <v>34</v>
      </c>
      <c r="B57" s="169" t="s">
        <v>87</v>
      </c>
      <c r="C57" s="170" t="s">
        <v>93</v>
      </c>
      <c r="D57" s="12"/>
      <c r="E57" s="13"/>
      <c r="F57" s="170" t="s">
        <v>94</v>
      </c>
      <c r="G57" s="12"/>
      <c r="H57" s="12"/>
      <c r="I57" s="12"/>
      <c r="J57" s="13"/>
      <c r="K57" s="171"/>
      <c r="L57" s="172">
        <f t="shared" si="21"/>
      </c>
      <c r="M57" s="171"/>
      <c r="N57" s="173">
        <f>IF($F57="","",IF(COUNTIFS('施策ログ'!$A$5:$A$198,$B$14,'施策ログ'!$G$5:$G$198,$F57)&gt;0,"✓",""))</f>
      </c>
      <c r="X57" s="85">
        <f t="shared" si="22"/>
      </c>
      <c r="Y57" s="85">
        <f>IFERROR(__xludf.DUMMYFUNCTION("IF(NOT(X57),"""",IF($B57=""共通"",TEXTJOIN(""／"",TRUE,FILTER($R$6:$R$25&amp;"" ""&amp;$U$6:$U$25,$S$6:$S$25=$A57,$T$6:$T$25&lt;1,$T$6:$T$25&lt;&gt;"""")),IFERROR(INDEX(FILTER($U$6:$U$25,$S$6:$S$25=$A57,$R$6:$R$25=$B57),1),"""")))"),"")</f>
      </c>
    </row>
    <row r="58" ht="25.5" customHeight="1">
      <c r="A58" s="169" t="s">
        <v>58</v>
      </c>
      <c r="B58" s="169" t="s">
        <v>66</v>
      </c>
      <c r="C58" s="170" t="s">
        <v>102</v>
      </c>
      <c r="D58" s="12"/>
      <c r="E58" s="13"/>
      <c r="F58" s="170" t="s">
        <v>103</v>
      </c>
      <c r="G58" s="12"/>
      <c r="H58" s="12"/>
      <c r="I58" s="12"/>
      <c r="J58" s="13"/>
      <c r="K58" s="171"/>
      <c r="L58" s="172">
        <f t="shared" si="21"/>
      </c>
      <c r="M58" s="171"/>
      <c r="N58" s="173">
        <f>IF($F58="","",IF(COUNTIFS('施策ログ'!$A$5:$A$198,$B$14,'施策ログ'!$G$5:$G$198,$F58)&gt;0,"✓",""))</f>
      </c>
      <c r="X58" s="85">
        <f t="shared" si="22"/>
      </c>
      <c r="Y58" s="85">
        <f>IFERROR(__xludf.DUMMYFUNCTION("IF(NOT(X58),"""",IF($B58=""共通"",TEXTJOIN(""／"",TRUE,FILTER($R$6:$R$25&amp;"" ""&amp;$U$6:$U$25,$S$6:$S$25=$A58,$T$6:$T$25&lt;1,$T$6:$T$25&lt;&gt;"""")),IFERROR(INDEX(FILTER($U$6:$U$25,$S$6:$S$25=$A58,$R$6:$R$25=$B58),1),"""")))"),"")</f>
      </c>
    </row>
    <row r="59" ht="25.5" customHeight="1">
      <c r="A59" s="169" t="s">
        <v>36</v>
      </c>
      <c r="B59" s="169" t="s">
        <v>66</v>
      </c>
      <c r="C59" s="170" t="s">
        <v>67</v>
      </c>
      <c r="D59" s="12"/>
      <c r="E59" s="13"/>
      <c r="F59" s="170" t="s">
        <v>68</v>
      </c>
      <c r="G59" s="12"/>
      <c r="H59" s="12"/>
      <c r="I59" s="12"/>
      <c r="J59" s="13"/>
      <c r="K59" s="171"/>
      <c r="L59" s="172">
        <f t="shared" si="21"/>
      </c>
      <c r="M59" s="171"/>
      <c r="N59" s="173">
        <f>IF($F59="","",IF(COUNTIFS('施策ログ'!$A$5:$A$198,$B$14,'施策ログ'!$G$5:$G$198,$F59)&gt;0,"✓",""))</f>
      </c>
      <c r="X59" s="85">
        <f t="shared" si="22"/>
      </c>
      <c r="Y59" s="85">
        <f>IFERROR(__xludf.DUMMYFUNCTION("IF(NOT(X59),"""",IF($B59=""共通"",TEXTJOIN(""／"",TRUE,FILTER($R$6:$R$25&amp;"" ""&amp;$U$6:$U$25,$S$6:$S$25=$A59,$T$6:$T$25&lt;1,$T$6:$T$25&lt;&gt;"""")),IFERROR(INDEX(FILTER($U$6:$U$25,$S$6:$S$25=$A59,$R$6:$R$25=$B59),1),"""")))"),"有効リード率29%（計画44%）")</f>
      </c>
    </row>
    <row r="60" ht="25.5" customHeight="1">
      <c r="A60" s="169" t="s">
        <v>34</v>
      </c>
      <c r="B60" s="169" t="s">
        <v>46</v>
      </c>
      <c r="C60" s="170" t="s">
        <v>48</v>
      </c>
      <c r="D60" s="12"/>
      <c r="E60" s="13"/>
      <c r="F60" s="170" t="s">
        <v>50</v>
      </c>
      <c r="G60" s="12"/>
      <c r="H60" s="12"/>
      <c r="I60" s="12"/>
      <c r="J60" s="13"/>
      <c r="K60" s="171"/>
      <c r="L60" s="172">
        <f t="shared" si="21"/>
      </c>
      <c r="M60" s="171"/>
      <c r="N60" s="173">
        <f>IF($F60="","",IF(COUNTIFS('施策ログ'!$A$5:$A$198,$B$14,'施策ログ'!$G$5:$G$198,$F60)&gt;0,"✓",""))</f>
      </c>
      <c r="X60" s="85">
        <f t="shared" si="22"/>
      </c>
      <c r="Y60" s="85">
        <f>IFERROR(__xludf.DUMMYFUNCTION("IF(NOT(X60),"""",IF($B60=""共通"",TEXTJOIN(""／"",TRUE,FILTER($R$6:$R$25&amp;"" ""&amp;$U$6:$U$25,$S$6:$S$25=$A60,$T$6:$T$25&lt;1,$T$6:$T$25&lt;&gt;"""")),IFERROR(INDEX(FILTER($U$6:$U$25,$S$6:$S$25=$A60,$R$6:$R$25=$B60),1),"""")))"),"実績35件（計画38件・達成率92%）")</f>
      </c>
    </row>
    <row r="61" ht="25.5" customHeight="1">
      <c r="A61" s="169" t="s">
        <v>36</v>
      </c>
      <c r="B61" s="169" t="s">
        <v>46</v>
      </c>
      <c r="C61" s="170" t="s">
        <v>105</v>
      </c>
      <c r="D61" s="12"/>
      <c r="E61" s="13"/>
      <c r="F61" s="170" t="s">
        <v>107</v>
      </c>
      <c r="G61" s="12"/>
      <c r="H61" s="12"/>
      <c r="I61" s="12"/>
      <c r="J61" s="13"/>
      <c r="K61" s="171"/>
      <c r="L61" s="172">
        <f t="shared" si="21"/>
      </c>
      <c r="M61" s="171"/>
      <c r="N61" s="173">
        <f>IF($F61="","",IF(COUNTIFS('施策ログ'!$A$5:$A$198,$B$14,'施策ログ'!$G$5:$G$198,$F61)&gt;0,"✓",""))</f>
      </c>
      <c r="X61" s="85">
        <f t="shared" si="22"/>
      </c>
      <c r="Y61" s="85">
        <f>IFERROR(__xludf.DUMMYFUNCTION("IF(NOT(X61),"""",IF($B61=""共通"",TEXTJOIN(""／"",TRUE,FILTER($R$6:$R$25&amp;"" ""&amp;$U$6:$U$25,$S$6:$S$25=$A61,$T$6:$T$25&lt;1,$T$6:$T$25&lt;&gt;"""")),IFERROR(INDEX(FILTER($U$6:$U$25,$S$6:$S$25=$A61,$R$6:$R$25=$B61),1),"""")))"),"有効リード率34%（計画37%）")</f>
      </c>
    </row>
    <row r="62" ht="25.5" customHeight="1">
      <c r="A62" s="169" t="s">
        <v>34</v>
      </c>
      <c r="B62" s="169" t="s">
        <v>62</v>
      </c>
      <c r="C62" s="170" t="s">
        <v>119</v>
      </c>
      <c r="D62" s="12"/>
      <c r="E62" s="13"/>
      <c r="F62" s="170" t="s">
        <v>120</v>
      </c>
      <c r="G62" s="12"/>
      <c r="H62" s="12"/>
      <c r="I62" s="12"/>
      <c r="J62" s="13"/>
      <c r="K62" s="171"/>
      <c r="L62" s="172">
        <f t="shared" si="21"/>
      </c>
      <c r="M62" s="171"/>
      <c r="N62" s="173">
        <f>IF($F62="","",IF(COUNTIFS('施策ログ'!$A$5:$A$198,$B$14,'施策ログ'!$G$5:$G$198,$F62)&gt;0,"✓",""))</f>
      </c>
      <c r="X62" s="85">
        <f t="shared" si="22"/>
      </c>
      <c r="Y62" s="85">
        <f>IFERROR(__xludf.DUMMYFUNCTION("IF(NOT(X62),"""",IF($B62=""共通"",TEXTJOIN(""／"",TRUE,FILTER($R$6:$R$25&amp;"" ""&amp;$U$6:$U$25,$S$6:$S$25=$A62,$T$6:$T$25&lt;1,$T$6:$T$25&lt;&gt;"""")),IFERROR(INDEX(FILTER($U$6:$U$25,$S$6:$S$25=$A62,$R$6:$R$25=$B62),1),"""")))"),"実績7件（計画9件・達成率78%）")</f>
      </c>
    </row>
    <row r="63" ht="25.5" customHeight="1">
      <c r="A63" s="169" t="s">
        <v>34</v>
      </c>
      <c r="B63" s="169" t="s">
        <v>62</v>
      </c>
      <c r="C63" s="170" t="s">
        <v>63</v>
      </c>
      <c r="D63" s="12"/>
      <c r="E63" s="13"/>
      <c r="F63" s="170" t="s">
        <v>64</v>
      </c>
      <c r="G63" s="12"/>
      <c r="H63" s="12"/>
      <c r="I63" s="12"/>
      <c r="J63" s="13"/>
      <c r="K63" s="171"/>
      <c r="L63" s="172">
        <f t="shared" si="21"/>
      </c>
      <c r="M63" s="171"/>
      <c r="N63" s="173">
        <f>IF($F63="","",IF(COUNTIFS('施策ログ'!$A$5:$A$198,$B$14,'施策ログ'!$G$5:$G$198,$F63)&gt;0,"✓",""))</f>
      </c>
      <c r="X63" s="85">
        <f t="shared" si="22"/>
      </c>
      <c r="Y63" s="85">
        <f>IFERROR(__xludf.DUMMYFUNCTION("IF(NOT(X63),"""",IF($B63=""共通"",TEXTJOIN(""／"",TRUE,FILTER($R$6:$R$25&amp;"" ""&amp;$U$6:$U$25,$S$6:$S$25=$A63,$T$6:$T$25&lt;1,$T$6:$T$25&lt;&gt;"""")),IFERROR(INDEX(FILTER($U$6:$U$25,$S$6:$S$25=$A63,$R$6:$R$25=$B63),1),"""")))"),"実績7件（計画9件・達成率78%）")</f>
      </c>
    </row>
    <row r="64" ht="25.5" customHeight="1">
      <c r="A64" s="169" t="s">
        <v>34</v>
      </c>
      <c r="B64" s="169" t="s">
        <v>62</v>
      </c>
      <c r="C64" s="170" t="s">
        <v>89</v>
      </c>
      <c r="D64" s="12"/>
      <c r="E64" s="13"/>
      <c r="F64" s="170" t="s">
        <v>90</v>
      </c>
      <c r="G64" s="12"/>
      <c r="H64" s="12"/>
      <c r="I64" s="12"/>
      <c r="J64" s="13"/>
      <c r="K64" s="171"/>
      <c r="L64" s="172">
        <f t="shared" si="21"/>
      </c>
      <c r="M64" s="171"/>
      <c r="N64" s="173">
        <f>IF($F64="","",IF(COUNTIFS('施策ログ'!$A$5:$A$198,$B$14,'施策ログ'!$G$5:$G$198,$F64)&gt;0,"✓",""))</f>
      </c>
      <c r="X64" s="85">
        <f t="shared" si="22"/>
      </c>
      <c r="Y64" s="85">
        <f>IFERROR(__xludf.DUMMYFUNCTION("IF(NOT(X64),"""",IF($B64=""共通"",TEXTJOIN(""／"",TRUE,FILTER($R$6:$R$25&amp;"" ""&amp;$U$6:$U$25,$S$6:$S$25=$A64,$T$6:$T$25&lt;1,$T$6:$T$25&lt;&gt;"""")),IFERROR(INDEX(FILTER($U$6:$U$25,$S$6:$S$25=$A64,$R$6:$R$25=$B64),1),"""")))"),"実績7件（計画9件・達成率78%）")</f>
      </c>
    </row>
    <row r="65" ht="25.5" customHeight="1">
      <c r="A65" s="169" t="s">
        <v>34</v>
      </c>
      <c r="B65" s="169" t="s">
        <v>62</v>
      </c>
      <c r="C65" s="170" t="s">
        <v>98</v>
      </c>
      <c r="D65" s="12"/>
      <c r="E65" s="13"/>
      <c r="F65" s="170" t="s">
        <v>100</v>
      </c>
      <c r="G65" s="12"/>
      <c r="H65" s="12"/>
      <c r="I65" s="12"/>
      <c r="J65" s="13"/>
      <c r="K65" s="171"/>
      <c r="L65" s="172">
        <f t="shared" si="21"/>
      </c>
      <c r="M65" s="171"/>
      <c r="N65" s="173">
        <f>IF($F65="","",IF(COUNTIFS('施策ログ'!$A$5:$A$198,$B$14,'施策ログ'!$G$5:$G$198,$F65)&gt;0,"✓",""))</f>
      </c>
      <c r="X65" s="85">
        <f t="shared" si="22"/>
      </c>
      <c r="Y65" s="85">
        <f>IFERROR(__xludf.DUMMYFUNCTION("IF(NOT(X65),"""",IF($B65=""共通"",TEXTJOIN(""／"",TRUE,FILTER($R$6:$R$25&amp;"" ""&amp;$U$6:$U$25,$S$6:$S$25=$A65,$T$6:$T$25&lt;1,$T$6:$T$25&lt;&gt;"""")),IFERROR(INDEX(FILTER($U$6:$U$25,$S$6:$S$25=$A65,$R$6:$R$25=$B65),1),"""")))"),"実績7件（計画9件・達成率78%）")</f>
      </c>
    </row>
    <row r="66" ht="25.5" customHeight="1">
      <c r="A66" s="169" t="s">
        <v>36</v>
      </c>
      <c r="B66" s="169" t="s">
        <v>71</v>
      </c>
      <c r="C66" s="170" t="s">
        <v>72</v>
      </c>
      <c r="D66" s="12"/>
      <c r="E66" s="13"/>
      <c r="F66" s="170" t="s">
        <v>73</v>
      </c>
      <c r="G66" s="12"/>
      <c r="H66" s="12"/>
      <c r="I66" s="12"/>
      <c r="J66" s="13"/>
      <c r="K66" s="169" t="s">
        <v>115</v>
      </c>
      <c r="L66" s="172">
        <f t="shared" si="21"/>
      </c>
      <c r="M66" s="169" t="s">
        <v>127</v>
      </c>
      <c r="N66" s="173">
        <f>IF($F66="","",IF(COUNTIFS('施策ログ'!$A$5:$A$198,$B$14,'施策ログ'!$G$5:$G$198,$F66)&gt;0,"✓",""))</f>
      </c>
      <c r="X66" s="85">
        <f t="shared" si="22"/>
      </c>
      <c r="Y66" s="85">
        <f>IFERROR(__xludf.DUMMYFUNCTION("IF(NOT(X66),"""",IF($B66=""共通"",TEXTJOIN(""／"",TRUE,FILTER($R$6:$R$25&amp;"" ""&amp;$U$6:$U$25,$S$6:$S$25=$A66,$T$6:$T$25&lt;1,$T$6:$T$25&lt;&gt;"""")),IFERROR(INDEX(FILTER($U$6:$U$25,$S$6:$S$25=$A66,$R$6:$R$25=$B66),1),"""")))"),"Web広告 有効リード率29%（計画44%）／自社サイト 有効リード率34%（計画37%）／メール 有効リード率29%（計画33%）")</f>
      </c>
    </row>
    <row r="67" ht="25.5" customHeight="1">
      <c r="A67" s="169" t="s">
        <v>36</v>
      </c>
      <c r="B67" s="169" t="s">
        <v>71</v>
      </c>
      <c r="C67" s="170" t="s">
        <v>110</v>
      </c>
      <c r="D67" s="12"/>
      <c r="E67" s="13"/>
      <c r="F67" s="170" t="s">
        <v>111</v>
      </c>
      <c r="G67" s="12"/>
      <c r="H67" s="12"/>
      <c r="I67" s="12"/>
      <c r="J67" s="13"/>
      <c r="K67" s="171"/>
      <c r="L67" s="172">
        <f t="shared" si="21"/>
      </c>
      <c r="M67" s="171"/>
      <c r="N67" s="173">
        <f>IF($F67="","",IF(COUNTIFS('施策ログ'!$A$5:$A$198,$B$14,'施策ログ'!$G$5:$G$198,$F67)&gt;0,"✓",""))</f>
      </c>
      <c r="X67" s="85">
        <f t="shared" si="22"/>
      </c>
      <c r="Y67" s="85">
        <f>IFERROR(__xludf.DUMMYFUNCTION("IF(NOT(X67),"""",IF($B67=""共通"",TEXTJOIN(""／"",TRUE,FILTER($R$6:$R$25&amp;"" ""&amp;$U$6:$U$25,$S$6:$S$25=$A67,$T$6:$T$25&lt;1,$T$6:$T$25&lt;&gt;"""")),IFERROR(INDEX(FILTER($U$6:$U$25,$S$6:$S$25=$A67,$R$6:$R$25=$B67),1),"""")))"),"Web広告 有効リード率29%（計画44%）／自社サイト 有効リード率34%（計画37%）／メール 有効リード率29%（計画33%）")</f>
      </c>
    </row>
    <row r="68" ht="25.5" customHeight="1">
      <c r="A68" s="169" t="s">
        <v>38</v>
      </c>
      <c r="B68" s="169" t="s">
        <v>77</v>
      </c>
      <c r="C68" s="170" t="s">
        <v>78</v>
      </c>
      <c r="D68" s="12"/>
      <c r="E68" s="13"/>
      <c r="F68" s="170" t="s">
        <v>79</v>
      </c>
      <c r="G68" s="12"/>
      <c r="H68" s="12"/>
      <c r="I68" s="12"/>
      <c r="J68" s="13"/>
      <c r="K68" s="171"/>
      <c r="L68" s="172">
        <f t="shared" si="21"/>
      </c>
      <c r="M68" s="171"/>
      <c r="N68" s="173">
        <f>IF($F68="","",IF(COUNTIFS('施策ログ'!$A$5:$A$198,$B$14,'施策ログ'!$G$5:$G$198,$F68)&gt;0,"✓",""))</f>
      </c>
      <c r="X68" s="85">
        <f t="shared" si="22"/>
      </c>
      <c r="Y68" s="85">
        <f>IFERROR(__xludf.DUMMYFUNCTION("IF(NOT(X68),"""",IF($B68=""共通"",TEXTJOIN(""／"",TRUE,FILTER($R$6:$R$25&amp;"" ""&amp;$U$6:$U$25,$S$6:$S$25=$A68,$T$6:$T$25&lt;1,$T$6:$T$25&lt;&gt;"""")),IFERROR(INDEX(FILTER($U$6:$U$25,$S$6:$S$25=$A68,$R$6:$R$25=$B68),1),"""")))"),"商談化率33%（計画40%）")</f>
      </c>
    </row>
    <row r="69" ht="25.5" customHeight="1">
      <c r="A69" s="169" t="s">
        <v>40</v>
      </c>
      <c r="B69" s="169" t="s">
        <v>77</v>
      </c>
      <c r="C69" s="170" t="s">
        <v>113</v>
      </c>
      <c r="D69" s="12"/>
      <c r="E69" s="13"/>
      <c r="F69" s="170" t="s">
        <v>114</v>
      </c>
      <c r="G69" s="12"/>
      <c r="H69" s="12"/>
      <c r="I69" s="12"/>
      <c r="J69" s="13"/>
      <c r="K69" s="171"/>
      <c r="L69" s="172">
        <f t="shared" si="21"/>
      </c>
      <c r="M69" s="171"/>
      <c r="N69" s="173">
        <f>IF($F69="","",IF(COUNTIFS('施策ログ'!$A$5:$A$198,$B$14,'施策ログ'!$G$5:$G$198,$F69)&gt;0,"✓",""))</f>
      </c>
      <c r="X69" s="85">
        <f t="shared" si="22"/>
      </c>
      <c r="Y69" s="85">
        <f>IFERROR(__xludf.DUMMYFUNCTION("IF(NOT(X69),"""",IF($B69=""共通"",TEXTJOIN(""／"",TRUE,FILTER($R$6:$R$25&amp;"" ""&amp;$U$6:$U$25,$S$6:$S$25=$A69,$T$6:$T$25&lt;1,$T$6:$T$25&lt;&gt;"""")),IFERROR(INDEX(FILTER($U$6:$U$25,$S$6:$S$25=$A69,$R$6:$R$25=$B69),1),"""")))"),"受注率17%（計画29%）")</f>
      </c>
    </row>
    <row r="70" ht="25.5" customHeight="1">
      <c r="A70" s="171"/>
      <c r="B70" s="171"/>
      <c r="C70" s="181"/>
      <c r="D70" s="12"/>
      <c r="E70" s="13"/>
      <c r="F70" s="181"/>
      <c r="G70" s="12"/>
      <c r="H70" s="12"/>
      <c r="I70" s="12"/>
      <c r="J70" s="13"/>
      <c r="K70" s="171"/>
      <c r="L70" s="172">
        <f t="shared" si="21"/>
      </c>
      <c r="M70" s="171"/>
      <c r="N70" s="173">
        <f>IF($F70="","",IF(COUNTIFS('施策ログ'!$A$5:$A$198,$B$14,'施策ログ'!$G$5:$G$198,$F70)&gt;0,"✓",""))</f>
      </c>
      <c r="X70" s="85">
        <f t="shared" si="22"/>
      </c>
      <c r="Y70" s="85">
        <f>IFERROR(__xludf.DUMMYFUNCTION("IF(NOT(X70),"""",IF($B70=""共通"",TEXTJOIN(""／"",TRUE,FILTER($R$6:$R$25&amp;"" ""&amp;$U$6:$U$25,$S$6:$S$25=$A70,$T$6:$T$25&lt;1,$T$6:$T$25&lt;&gt;"""")),IFERROR(INDEX(FILTER($U$6:$U$25,$S$6:$S$25=$A70,$R$6:$R$25=$B70),1),"""")))"),"")</f>
      </c>
    </row>
    <row r="71" ht="25.5" customHeight="1">
      <c r="A71" s="171"/>
      <c r="B71" s="171"/>
      <c r="C71" s="181"/>
      <c r="D71" s="12"/>
      <c r="E71" s="13"/>
      <c r="F71" s="181"/>
      <c r="G71" s="12"/>
      <c r="H71" s="12"/>
      <c r="I71" s="12"/>
      <c r="J71" s="13"/>
      <c r="K71" s="171"/>
      <c r="L71" s="172">
        <f t="shared" si="21"/>
      </c>
      <c r="M71" s="171"/>
      <c r="N71" s="173">
        <f>IF($F71="","",IF(COUNTIFS('施策ログ'!$A$5:$A$198,$B$14,'施策ログ'!$G$5:$G$198,$F71)&gt;0,"✓",""))</f>
      </c>
      <c r="X71" s="85">
        <f t="shared" si="22"/>
      </c>
      <c r="Y71" s="85">
        <f>IFERROR(__xludf.DUMMYFUNCTION("IF(NOT(X71),"""",IF($B71=""共通"",TEXTJOIN(""／"",TRUE,FILTER($R$6:$R$25&amp;"" ""&amp;$U$6:$U$25,$S$6:$S$25=$A71,$T$6:$T$25&lt;1,$T$6:$T$25&lt;&gt;"""")),IFERROR(INDEX(FILTER($U$6:$U$25,$S$6:$S$25=$A71,$R$6:$R$25=$B71),1),"""")))"),"")</f>
      </c>
    </row>
    <row r="72" ht="25.5" customHeight="1">
      <c r="A72" s="171"/>
      <c r="B72" s="171"/>
      <c r="C72" s="181"/>
      <c r="D72" s="12"/>
      <c r="E72" s="13"/>
      <c r="F72" s="181"/>
      <c r="G72" s="12"/>
      <c r="H72" s="12"/>
      <c r="I72" s="12"/>
      <c r="J72" s="13"/>
      <c r="K72" s="171"/>
      <c r="L72" s="172">
        <f t="shared" si="21"/>
      </c>
      <c r="M72" s="171"/>
      <c r="N72" s="173">
        <f>IF($F72="","",IF(COUNTIFS('施策ログ'!$A$5:$A$198,$B$14,'施策ログ'!$G$5:$G$198,$F72)&gt;0,"✓",""))</f>
      </c>
      <c r="X72" s="85">
        <f t="shared" si="22"/>
      </c>
      <c r="Y72" s="85">
        <f>IFERROR(__xludf.DUMMYFUNCTION("IF(NOT(X72),"""",IF($B72=""共通"",TEXTJOIN(""／"",TRUE,FILTER($R$6:$R$25&amp;"" ""&amp;$U$6:$U$25,$S$6:$S$25=$A72,$T$6:$T$25&lt;1,$T$6:$T$25&lt;&gt;"""")),IFERROR(INDEX(FILTER($U$6:$U$25,$S$6:$S$25=$A72,$R$6:$R$25=$B72),1),"""")))"),"")</f>
      </c>
    </row>
    <row r="73" ht="15.75" customHeight="1">
      <c r="A73" s="171"/>
      <c r="B73" s="171"/>
      <c r="C73" s="181"/>
      <c r="D73" s="12"/>
      <c r="E73" s="13"/>
      <c r="F73" s="181"/>
      <c r="G73" s="12"/>
      <c r="H73" s="12"/>
      <c r="I73" s="12"/>
      <c r="J73" s="13"/>
      <c r="K73" s="171"/>
      <c r="L73" s="172">
        <f t="shared" si="21"/>
      </c>
      <c r="M73" s="171"/>
      <c r="N73" s="173">
        <f>IF($F73="","",IF(COUNTIFS('施策ログ'!$A$5:$A$198,$B$14,'施策ログ'!$G$5:$G$198,$F73)&gt;0,"✓",""))</f>
      </c>
      <c r="X73" s="85">
        <f t="shared" si="22"/>
      </c>
      <c r="Y73" s="85">
        <f>IFERROR(__xludf.DUMMYFUNCTION("IF(NOT(X73),"""",IF($B73=""共通"",TEXTJOIN(""／"",TRUE,FILTER($R$6:$R$25&amp;"" ""&amp;$U$6:$U$25,$S$6:$S$25=$A73,$T$6:$T$25&lt;1,$T$6:$T$25&lt;&gt;"""")),IFERROR(INDEX(FILTER($U$6:$U$25,$S$6:$S$25=$A73,$R$6:$R$25=$B73),1),"""")))"),"")</f>
      </c>
    </row>
    <row r="74" ht="15.75" customHeight="1">
      <c r="A74" s="171"/>
      <c r="B74" s="171"/>
      <c r="C74" s="181"/>
      <c r="D74" s="12"/>
      <c r="E74" s="13"/>
      <c r="F74" s="181"/>
      <c r="G74" s="12"/>
      <c r="H74" s="12"/>
      <c r="I74" s="12"/>
      <c r="J74" s="13"/>
      <c r="K74" s="171"/>
      <c r="L74" s="172">
        <f t="shared" si="21"/>
      </c>
      <c r="M74" s="171"/>
      <c r="N74" s="173">
        <f>IF($F74="","",IF(COUNTIFS('施策ログ'!$A$5:$A$198,$B$14,'施策ログ'!$G$5:$G$198,$F74)&gt;0,"✓",""))</f>
      </c>
      <c r="X74" s="85">
        <f t="shared" si="22"/>
      </c>
      <c r="Y74" s="85">
        <f>IFERROR(__xludf.DUMMYFUNCTION("IF(NOT(X74),"""",IF($B74=""共通"",TEXTJOIN(""／"",TRUE,FILTER($R$6:$R$25&amp;"" ""&amp;$U$6:$U$25,$S$6:$S$25=$A74,$T$6:$T$25&lt;1,$T$6:$T$25&lt;&gt;"""")),IFERROR(INDEX(FILTER($U$6:$U$25,$S$6:$S$25=$A74,$R$6:$R$25=$B74),1),"""")))"),"")</f>
      </c>
    </row>
    <row r="75" ht="15.75" customHeight="1">
      <c r="A75" s="171"/>
      <c r="B75" s="171"/>
      <c r="C75" s="181"/>
      <c r="D75" s="12"/>
      <c r="E75" s="13"/>
      <c r="F75" s="181"/>
      <c r="G75" s="12"/>
      <c r="H75" s="12"/>
      <c r="I75" s="12"/>
      <c r="J75" s="13"/>
      <c r="K75" s="171"/>
      <c r="L75" s="172">
        <f t="shared" si="21"/>
      </c>
      <c r="M75" s="171"/>
      <c r="N75" s="173">
        <f>IF($F75="","",IF(COUNTIFS('施策ログ'!$A$5:$A$198,$B$14,'施策ログ'!$G$5:$G$198,$F75)&gt;0,"✓",""))</f>
      </c>
      <c r="X75" s="85">
        <f t="shared" si="22"/>
      </c>
      <c r="Y75" s="85">
        <f>IFERROR(__xludf.DUMMYFUNCTION("IF(NOT(X75),"""",IF($B75=""共通"",TEXTJOIN(""／"",TRUE,FILTER($R$6:$R$25&amp;"" ""&amp;$U$6:$U$25,$S$6:$S$25=$A75,$T$6:$T$25&lt;1,$T$6:$T$25&lt;&gt;"""")),IFERROR(INDEX(FILTER($U$6:$U$25,$S$6:$S$25=$A75,$R$6:$R$25=$B75),1),"""")))"),"")</f>
      </c>
    </row>
    <row r="76" ht="15.75" customHeight="1">
      <c r="A76" s="171"/>
      <c r="B76" s="171"/>
      <c r="C76" s="181"/>
      <c r="D76" s="12"/>
      <c r="E76" s="13"/>
      <c r="F76" s="181"/>
      <c r="G76" s="12"/>
      <c r="H76" s="12"/>
      <c r="I76" s="12"/>
      <c r="J76" s="13"/>
      <c r="K76" s="171"/>
      <c r="L76" s="172">
        <f t="shared" si="21"/>
      </c>
      <c r="M76" s="171"/>
      <c r="N76" s="173">
        <f>IF($F76="","",IF(COUNTIFS('施策ログ'!$A$5:$A$198,$B$14,'施策ログ'!$G$5:$G$198,$F76)&gt;0,"✓",""))</f>
      </c>
      <c r="X76" s="85">
        <f t="shared" si="22"/>
      </c>
      <c r="Y76" s="85">
        <f>IFERROR(__xludf.DUMMYFUNCTION("IF(NOT(X76),"""",IF($B76=""共通"",TEXTJOIN(""／"",TRUE,FILTER($R$6:$R$25&amp;"" ""&amp;$U$6:$U$25,$S$6:$S$25=$A76,$T$6:$T$25&lt;1,$T$6:$T$25&lt;&gt;"""")),IFERROR(INDEX(FILTER($U$6:$U$25,$S$6:$S$25=$A76,$R$6:$R$25=$B76),1),"""")))"),"")</f>
      </c>
    </row>
    <row r="77" ht="15.75" customHeight="1">
      <c r="A77" s="171"/>
      <c r="B77" s="171"/>
      <c r="C77" s="181"/>
      <c r="D77" s="12"/>
      <c r="E77" s="13"/>
      <c r="F77" s="181"/>
      <c r="G77" s="12"/>
      <c r="H77" s="12"/>
      <c r="I77" s="12"/>
      <c r="J77" s="13"/>
      <c r="K77" s="171"/>
      <c r="L77" s="172">
        <f t="shared" si="21"/>
      </c>
      <c r="M77" s="171"/>
      <c r="N77" s="173">
        <f>IF($F77="","",IF(COUNTIFS('施策ログ'!$A$5:$A$198,$B$14,'施策ログ'!$G$5:$G$198,$F77)&gt;0,"✓",""))</f>
      </c>
      <c r="X77" s="85">
        <f t="shared" si="22"/>
      </c>
      <c r="Y77" s="85">
        <f>IFERROR(__xludf.DUMMYFUNCTION("IF(NOT(X77),"""",IF($B77=""共通"",TEXTJOIN(""／"",TRUE,FILTER($R$6:$R$25&amp;"" ""&amp;$U$6:$U$25,$S$6:$S$25=$A77,$T$6:$T$25&lt;1,$T$6:$T$25&lt;&gt;"""")),IFERROR(INDEX(FILTER($U$6:$U$25,$S$6:$S$25=$A77,$R$6:$R$25=$B77),1),"""")))"),"")</f>
      </c>
    </row>
    <row r="78" ht="15.75" customHeight="1">
      <c r="A78" s="171"/>
      <c r="B78" s="171"/>
      <c r="C78" s="181"/>
      <c r="D78" s="12"/>
      <c r="E78" s="13"/>
      <c r="F78" s="181"/>
      <c r="G78" s="12"/>
      <c r="H78" s="12"/>
      <c r="I78" s="12"/>
      <c r="J78" s="13"/>
      <c r="K78" s="171"/>
      <c r="L78" s="172">
        <f t="shared" si="21"/>
      </c>
      <c r="M78" s="171"/>
      <c r="N78" s="173">
        <f>IF($F78="","",IF(COUNTIFS('施策ログ'!$A$5:$A$198,$B$14,'施策ログ'!$G$5:$G$198,$F78)&gt;0,"✓",""))</f>
      </c>
      <c r="X78" s="85">
        <f t="shared" si="22"/>
      </c>
      <c r="Y78" s="85">
        <f>IFERROR(__xludf.DUMMYFUNCTION("IF(NOT(X78),"""",IF($B78=""共通"",TEXTJOIN(""／"",TRUE,FILTER($R$6:$R$25&amp;"" ""&amp;$U$6:$U$25,$S$6:$S$25=$A78,$T$6:$T$25&lt;1,$T$6:$T$25&lt;&gt;"""")),IFERROR(INDEX(FILTER($U$6:$U$25,$S$6:$S$25=$A78,$R$6:$R$25=$B78),1),"""")))"),"")</f>
      </c>
    </row>
    <row r="79" ht="15.75" customHeight="1">
      <c r="A79" s="171"/>
      <c r="B79" s="171"/>
      <c r="C79" s="181"/>
      <c r="D79" s="12"/>
      <c r="E79" s="13"/>
      <c r="F79" s="181"/>
      <c r="G79" s="12"/>
      <c r="H79" s="12"/>
      <c r="I79" s="12"/>
      <c r="J79" s="13"/>
      <c r="K79" s="171"/>
      <c r="L79" s="172">
        <f t="shared" si="21"/>
      </c>
      <c r="M79" s="171"/>
      <c r="N79" s="173">
        <f>IF($F79="","",IF(COUNTIFS('施策ログ'!$A$5:$A$198,$B$14,'施策ログ'!$G$5:$G$198,$F79)&gt;0,"✓",""))</f>
      </c>
      <c r="X79" s="85">
        <f t="shared" si="22"/>
      </c>
      <c r="Y79" s="85">
        <f>IFERROR(__xludf.DUMMYFUNCTION("IF(NOT(X79),"""",IF($B79=""共通"",TEXTJOIN(""／"",TRUE,FILTER($R$6:$R$25&amp;"" ""&amp;$U$6:$U$25,$S$6:$S$25=$A79,$T$6:$T$25&lt;1,$T$6:$T$25&lt;&gt;"""")),IFERROR(INDEX(FILTER($U$6:$U$25,$S$6:$S$25=$A79,$R$6:$R$25=$B79),1),"""")))"),"")</f>
      </c>
    </row>
    <row r="80" ht="15.75" customHeight="1">
      <c r="A80" s="171"/>
      <c r="B80" s="171"/>
      <c r="C80" s="181"/>
      <c r="D80" s="12"/>
      <c r="E80" s="13"/>
      <c r="F80" s="181"/>
      <c r="G80" s="12"/>
      <c r="H80" s="12"/>
      <c r="I80" s="12"/>
      <c r="J80" s="13"/>
      <c r="K80" s="171"/>
      <c r="L80" s="172">
        <f t="shared" si="21"/>
      </c>
      <c r="M80" s="171"/>
      <c r="N80" s="173">
        <f>IF($F80="","",IF(COUNTIFS('施策ログ'!$A$5:$A$198,$B$14,'施策ログ'!$G$5:$G$198,$F80)&gt;0,"✓",""))</f>
      </c>
      <c r="X80" s="85">
        <f t="shared" si="22"/>
      </c>
      <c r="Y80" s="85">
        <f>IFERROR(__xludf.DUMMYFUNCTION("IF(NOT(X80),"""",IF($B80=""共通"",TEXTJOIN(""／"",TRUE,FILTER($R$6:$R$25&amp;"" ""&amp;$U$6:$U$25,$S$6:$S$25=$A80,$T$6:$T$25&lt;1,$T$6:$T$25&lt;&gt;"""")),IFERROR(INDEX(FILTER($U$6:$U$25,$S$6:$S$25=$A80,$R$6:$R$25=$B80),1),"""")))"),"")</f>
      </c>
    </row>
    <row r="81" ht="15.75" customHeight="1">
      <c r="A81" s="171"/>
      <c r="B81" s="171"/>
      <c r="C81" s="181"/>
      <c r="D81" s="12"/>
      <c r="E81" s="13"/>
      <c r="F81" s="181"/>
      <c r="G81" s="12"/>
      <c r="H81" s="12"/>
      <c r="I81" s="12"/>
      <c r="J81" s="13"/>
      <c r="K81" s="171"/>
      <c r="L81" s="172">
        <f t="shared" si="21"/>
      </c>
      <c r="M81" s="171"/>
      <c r="N81" s="173">
        <f>IF($F81="","",IF(COUNTIFS('施策ログ'!$A$5:$A$198,$B$14,'施策ログ'!$G$5:$G$198,$F81)&gt;0,"✓",""))</f>
      </c>
      <c r="X81" s="85">
        <f t="shared" si="22"/>
      </c>
      <c r="Y81" s="85">
        <f>IFERROR(__xludf.DUMMYFUNCTION("IF(NOT(X81),"""",IF($B81=""共通"",TEXTJOIN(""／"",TRUE,FILTER($R$6:$R$25&amp;"" ""&amp;$U$6:$U$25,$S$6:$S$25=$A81,$T$6:$T$25&lt;1,$T$6:$T$25&lt;&gt;"""")),IFERROR(INDEX(FILTER($U$6:$U$25,$S$6:$S$25=$A81,$R$6:$R$25=$B81),1),"""")))"),"")</f>
      </c>
    </row>
    <row r="82" ht="15.75" customHeight="1">
      <c r="A82" s="171"/>
      <c r="B82" s="171"/>
      <c r="C82" s="181"/>
      <c r="D82" s="12"/>
      <c r="E82" s="13"/>
      <c r="F82" s="181"/>
      <c r="G82" s="12"/>
      <c r="H82" s="12"/>
      <c r="I82" s="12"/>
      <c r="J82" s="13"/>
      <c r="K82" s="171"/>
      <c r="L82" s="172">
        <f t="shared" si="21"/>
      </c>
      <c r="M82" s="171"/>
      <c r="N82" s="173">
        <f>IF($F82="","",IF(COUNTIFS('施策ログ'!$A$5:$A$198,$B$14,'施策ログ'!$G$5:$G$198,$F82)&gt;0,"✓",""))</f>
      </c>
      <c r="X82" s="85">
        <f t="shared" si="22"/>
      </c>
      <c r="Y82" s="85">
        <f>IFERROR(__xludf.DUMMYFUNCTION("IF(NOT(X82),"""",IF($B82=""共通"",TEXTJOIN(""／"",TRUE,FILTER($R$6:$R$25&amp;"" ""&amp;$U$6:$U$25,$S$6:$S$25=$A82,$T$6:$T$25&lt;1,$T$6:$T$25&lt;&gt;"""")),IFERROR(INDEX(FILTER($U$6:$U$25,$S$6:$S$25=$A82,$R$6:$R$25=$B82),1),"""")))"),"")</f>
      </c>
    </row>
    <row r="83" ht="15.75" customHeight="1">
      <c r="X83" s="85">
        <f t="shared" si="22"/>
      </c>
      <c r="Y83" s="85">
        <f>IFERROR(__xludf.DUMMYFUNCTION("IF(NOT(X83),"""",IF($B83=""共通"",TEXTJOIN(""／"",TRUE,FILTER($R$6:$R$25&amp;"" ""&amp;$U$6:$U$25,$S$6:$S$25=$A83,$T$6:$T$25&lt;1,$T$6:$T$25&lt;&gt;"""")),IFERROR(INDEX(FILTER($U$6:$U$25,$S$6:$S$25=$A83,$R$6:$R$25=$B83),1),"""")))"),"")</f>
      </c>
    </row>
    <row r="84" ht="15.75" customHeight="1">
      <c r="X84" s="85">
        <f t="shared" si="22"/>
      </c>
      <c r="Y84" s="85">
        <f>IFERROR(__xludf.DUMMYFUNCTION("IF(NOT(X84),"""",IF($B84=""共通"",TEXTJOIN(""／"",TRUE,FILTER($R$6:$R$25&amp;"" ""&amp;$U$6:$U$25,$S$6:$S$25=$A84,$T$6:$T$25&lt;1,$T$6:$T$25&lt;&gt;"""")),IFERROR(INDEX(FILTER($U$6:$U$25,$S$6:$S$25=$A84,$R$6:$R$25=$B84),1),"""")))"),"")</f>
      </c>
    </row>
    <row r="85" ht="15.75" customHeight="1">
      <c r="X85" s="85">
        <f t="shared" si="22"/>
      </c>
      <c r="Y85" s="85">
        <f>IFERROR(__xludf.DUMMYFUNCTION("IF(NOT(X85),"""",IF($B85=""共通"",TEXTJOIN(""／"",TRUE,FILTER($R$6:$R$25&amp;"" ""&amp;$U$6:$U$25,$S$6:$S$25=$A85,$T$6:$T$25&lt;1,$T$6:$T$25&lt;&gt;"""")),IFERROR(INDEX(FILTER($U$6:$U$25,$S$6:$S$25=$A85,$R$6:$R$25=$B85),1),"""")))"),"")</f>
      </c>
    </row>
    <row r="86" ht="15.75" customHeight="1">
      <c r="X86" s="85">
        <f t="shared" si="22"/>
      </c>
      <c r="Y86" s="85">
        <f>IFERROR(__xludf.DUMMYFUNCTION("IF(NOT(X86),"""",IF($B86=""共通"",TEXTJOIN(""／"",TRUE,FILTER($R$6:$R$25&amp;"" ""&amp;$U$6:$U$25,$S$6:$S$25=$A86,$T$6:$T$25&lt;1,$T$6:$T$25&lt;&gt;"""")),IFERROR(INDEX(FILTER($U$6:$U$25,$S$6:$S$25=$A86,$R$6:$R$25=$B86),1),"""")))"),"")</f>
      </c>
    </row>
    <row r="87" ht="15.75" customHeight="1">
      <c r="X87" s="85">
        <f t="shared" si="22"/>
      </c>
      <c r="Y87" s="85">
        <f>IFERROR(__xludf.DUMMYFUNCTION("IF(NOT(X87),"""",IF($B87=""共通"",TEXTJOIN(""／"",TRUE,FILTER($R$6:$R$25&amp;"" ""&amp;$U$6:$U$25,$S$6:$S$25=$A87,$T$6:$T$25&lt;1,$T$6:$T$25&lt;&gt;"""")),IFERROR(INDEX(FILTER($U$6:$U$25,$S$6:$S$25=$A87,$R$6:$R$25=$B87),1),"""")))"),"")</f>
      </c>
    </row>
    <row r="88" ht="15.75" customHeight="1">
      <c r="X88" s="85">
        <f t="shared" si="22"/>
      </c>
      <c r="Y88" s="85">
        <f>IFERROR(__xludf.DUMMYFUNCTION("IF(NOT(X88),"""",IF($B88=""共通"",TEXTJOIN(""／"",TRUE,FILTER($R$6:$R$25&amp;"" ""&amp;$U$6:$U$25,$S$6:$S$25=$A88,$T$6:$T$25&lt;1,$T$6:$T$25&lt;&gt;"""")),IFERROR(INDEX(FILTER($U$6:$U$25,$S$6:$S$25=$A88,$R$6:$R$25=$B88),1),"""")))"),"")</f>
      </c>
    </row>
    <row r="89" ht="15.75" customHeight="1">
      <c r="X89" s="85">
        <f t="shared" si="22"/>
      </c>
      <c r="Y89" s="85">
        <f>IFERROR(__xludf.DUMMYFUNCTION("IF(NOT(X89),"""",IF($B89=""共通"",TEXTJOIN(""／"",TRUE,FILTER($R$6:$R$25&amp;"" ""&amp;$U$6:$U$25,$S$6:$S$25=$A89,$T$6:$T$25&lt;1,$T$6:$T$25&lt;&gt;"""")),IFERROR(INDEX(FILTER($U$6:$U$25,$S$6:$S$25=$A89,$R$6:$R$25=$B89),1),"""")))"),"")</f>
      </c>
    </row>
    <row r="90" ht="15.75" customHeight="1">
      <c r="X90" s="85">
        <f t="shared" si="22"/>
      </c>
      <c r="Y90" s="85">
        <f>IFERROR(__xludf.DUMMYFUNCTION("IF(NOT(X90),"""",IF($B90=""共通"",TEXTJOIN(""／"",TRUE,FILTER($R$6:$R$25&amp;"" ""&amp;$U$6:$U$25,$S$6:$S$25=$A90,$T$6:$T$25&lt;1,$T$6:$T$25&lt;&gt;"""")),IFERROR(INDEX(FILTER($U$6:$U$25,$S$6:$S$25=$A90,$R$6:$R$25=$B90),1),"""")))"),"")</f>
      </c>
    </row>
    <row r="91" ht="15.75" customHeight="1">
      <c r="X91" s="85">
        <f t="shared" si="22"/>
      </c>
      <c r="Y91" s="85">
        <f>IFERROR(__xludf.DUMMYFUNCTION("IF(NOT(X91),"""",IF($B91=""共通"",TEXTJOIN(""／"",TRUE,FILTER($R$6:$R$25&amp;"" ""&amp;$U$6:$U$25,$S$6:$S$25=$A91,$T$6:$T$25&lt;1,$T$6:$T$25&lt;&gt;"""")),IFERROR(INDEX(FILTER($U$6:$U$25,$S$6:$S$25=$A91,$R$6:$R$25=$B91),1),"""")))"),"")</f>
      </c>
    </row>
    <row r="92" ht="15.75" customHeight="1">
      <c r="X92" s="85">
        <f t="shared" si="22"/>
      </c>
      <c r="Y92" s="85">
        <f>IFERROR(__xludf.DUMMYFUNCTION("IF(NOT(X92),"""",IF($B92=""共通"",TEXTJOIN(""／"",TRUE,FILTER($R$6:$R$25&amp;"" ""&amp;$U$6:$U$25,$S$6:$S$25=$A92,$T$6:$T$25&lt;1,$T$6:$T$25&lt;&gt;"""")),IFERROR(INDEX(FILTER($U$6:$U$25,$S$6:$S$25=$A92,$R$6:$R$25=$B92),1),"""")))"),"")</f>
      </c>
    </row>
    <row r="93" ht="15.75" customHeight="1">
      <c r="X93" s="85">
        <f t="shared" si="22"/>
      </c>
      <c r="Y93" s="85">
        <f>IFERROR(__xludf.DUMMYFUNCTION("IF(NOT(X93),"""",IF($B93=""共通"",TEXTJOIN(""／"",TRUE,FILTER($R$6:$R$25&amp;"" ""&amp;$U$6:$U$25,$S$6:$S$25=$A93,$T$6:$T$25&lt;1,$T$6:$T$25&lt;&gt;"""")),IFERROR(INDEX(FILTER($U$6:$U$25,$S$6:$S$25=$A93,$R$6:$R$25=$B93),1),"""")))"),"")</f>
      </c>
    </row>
    <row r="94" ht="15.75" customHeight="1">
      <c r="X94" s="85">
        <f t="shared" si="22"/>
      </c>
      <c r="Y94" s="85">
        <f>IFERROR(__xludf.DUMMYFUNCTION("IF(NOT(X94),"""",IF($B94=""共通"",TEXTJOIN(""／"",TRUE,FILTER($R$6:$R$25&amp;"" ""&amp;$U$6:$U$25,$S$6:$S$25=$A94,$T$6:$T$25&lt;1,$T$6:$T$25&lt;&gt;"""")),IFERROR(INDEX(FILTER($U$6:$U$25,$S$6:$S$25=$A94,$R$6:$R$25=$B94),1),"""")))"),"")</f>
      </c>
    </row>
    <row r="95" ht="15.75" customHeight="1">
      <c r="X95" s="85">
        <f t="shared" si="22"/>
      </c>
      <c r="Y95" s="85">
        <f>IFERROR(__xludf.DUMMYFUNCTION("IF(NOT(X95),"""",IF($B95=""共通"",TEXTJOIN(""／"",TRUE,FILTER($R$6:$R$25&amp;"" ""&amp;$U$6:$U$25,$S$6:$S$25=$A95,$T$6:$T$25&lt;1,$T$6:$T$25&lt;&gt;"""")),IFERROR(INDEX(FILTER($U$6:$U$25,$S$6:$S$25=$A95,$R$6:$R$25=$B95),1),"""")))"),"")</f>
      </c>
    </row>
    <row r="96" ht="15.75" customHeight="1">
      <c r="X96" s="85">
        <f t="shared" si="22"/>
      </c>
      <c r="Y96" s="85">
        <f>IFERROR(__xludf.DUMMYFUNCTION("IF(NOT(X96),"""",IF($B96=""共通"",TEXTJOIN(""／"",TRUE,FILTER($R$6:$R$25&amp;"" ""&amp;$U$6:$U$25,$S$6:$S$25=$A96,$T$6:$T$25&lt;1,$T$6:$T$25&lt;&gt;"""")),IFERROR(INDEX(FILTER($U$6:$U$25,$S$6:$S$25=$A96,$R$6:$R$25=$B96),1),"""")))"),"")</f>
      </c>
    </row>
    <row r="97" ht="15.75" customHeight="1">
      <c r="X97" s="85">
        <f t="shared" si="22"/>
      </c>
      <c r="Y97" s="85">
        <f>IFERROR(__xludf.DUMMYFUNCTION("IF(NOT(X97),"""",IF($B97=""共通"",TEXTJOIN(""／"",TRUE,FILTER($R$6:$R$25&amp;"" ""&amp;$U$6:$U$25,$S$6:$S$25=$A97,$T$6:$T$25&lt;1,$T$6:$T$25&lt;&gt;"""")),IFERROR(INDEX(FILTER($U$6:$U$25,$S$6:$S$25=$A97,$R$6:$R$25=$B97),1),"""")))"),"")</f>
      </c>
    </row>
    <row r="98" ht="15.75" customHeight="1">
      <c r="X98" s="85">
        <f t="shared" si="22"/>
      </c>
      <c r="Y98" s="85">
        <f>IFERROR(__xludf.DUMMYFUNCTION("IF(NOT(X98),"""",IF($B98=""共通"",TEXTJOIN(""／"",TRUE,FILTER($R$6:$R$25&amp;"" ""&amp;$U$6:$U$25,$S$6:$S$25=$A98,$T$6:$T$25&lt;1,$T$6:$T$25&lt;&gt;"""")),IFERROR(INDEX(FILTER($U$6:$U$25,$S$6:$S$25=$A98,$R$6:$R$25=$B98),1),"""")))"),"")</f>
      </c>
    </row>
    <row r="99" ht="15.75" customHeight="1">
      <c r="X99" s="85">
        <f t="shared" si="22"/>
      </c>
      <c r="Y99" s="85">
        <f>IFERROR(__xludf.DUMMYFUNCTION("IF(NOT(X99),"""",IF($B99=""共通"",TEXTJOIN(""／"",TRUE,FILTER($R$6:$R$25&amp;"" ""&amp;$U$6:$U$25,$S$6:$S$25=$A99,$T$6:$T$25&lt;1,$T$6:$T$25&lt;&gt;"""")),IFERROR(INDEX(FILTER($U$6:$U$25,$S$6:$S$25=$A99,$R$6:$R$25=$B99),1),"""")))"),"")</f>
      </c>
    </row>
    <row r="100" ht="15.75" customHeight="1">
      <c r="X100" s="85">
        <f t="shared" si="22"/>
      </c>
      <c r="Y100" s="85">
        <f>IFERROR(__xludf.DUMMYFUNCTION("IF(NOT(X100),"""",IF($B100=""共通"",TEXTJOIN(""／"",TRUE,FILTER($R$6:$R$25&amp;"" ""&amp;$U$6:$U$25,$S$6:$S$25=$A100,$T$6:$T$25&lt;1,$T$6:$T$25&lt;&gt;"""")),IFERROR(INDEX(FILTER($U$6:$U$25,$S$6:$S$25=$A100,$R$6:$R$25=$B100),1),"""")))"),"")</f>
      </c>
    </row>
    <row r="101" ht="15.75" customHeight="1">
      <c r="X101" s="85">
        <f t="shared" si="22"/>
      </c>
      <c r="Y101" s="85">
        <f>IFERROR(__xludf.DUMMYFUNCTION("IF(NOT(X101),"""",IF($B101=""共通"",TEXTJOIN(""／"",TRUE,FILTER($R$6:$R$25&amp;"" ""&amp;$U$6:$U$25,$S$6:$S$25=$A101,$T$6:$T$25&lt;1,$T$6:$T$25&lt;&gt;"""")),IFERROR(INDEX(FILTER($U$6:$U$25,$S$6:$S$25=$A101,$R$6:$R$25=$B101),1),"""")))"),"")</f>
      </c>
    </row>
    <row r="102" ht="15.75" customHeight="1">
      <c r="X102" s="85">
        <f t="shared" si="22"/>
      </c>
      <c r="Y102" s="85">
        <f>IFERROR(__xludf.DUMMYFUNCTION("IF(NOT(X102),"""",IF($B102=""共通"",TEXTJOIN(""／"",TRUE,FILTER($R$6:$R$25&amp;"" ""&amp;$U$6:$U$25,$S$6:$S$25=$A102,$T$6:$T$25&lt;1,$T$6:$T$25&lt;&gt;"""")),IFERROR(INDEX(FILTER($U$6:$U$25,$S$6:$S$25=$A102,$R$6:$R$25=$B102),1),"""")))"),"")</f>
      </c>
    </row>
    <row r="103" ht="15.75" customHeight="1">
      <c r="X103" s="85">
        <f t="shared" si="22"/>
      </c>
      <c r="Y103" s="85">
        <f>IFERROR(__xludf.DUMMYFUNCTION("IF(NOT(X103),"""",IF($B103=""共通"",TEXTJOIN(""／"",TRUE,FILTER($R$6:$R$25&amp;"" ""&amp;$U$6:$U$25,$S$6:$S$25=$A103,$T$6:$T$25&lt;1,$T$6:$T$25&lt;&gt;"""")),IFERROR(INDEX(FILTER($U$6:$U$25,$S$6:$S$25=$A103,$R$6:$R$25=$B103),1),"""")))"),"")</f>
      </c>
    </row>
    <row r="104" ht="15.75" customHeight="1">
      <c r="X104" s="85">
        <f t="shared" si="22"/>
      </c>
      <c r="Y104" s="85">
        <f>IFERROR(__xludf.DUMMYFUNCTION("IF(NOT(X104),"""",IF($B104=""共通"",TEXTJOIN(""／"",TRUE,FILTER($R$6:$R$25&amp;"" ""&amp;$U$6:$U$25,$S$6:$S$25=$A104,$T$6:$T$25&lt;1,$T$6:$T$25&lt;&gt;"""")),IFERROR(INDEX(FILTER($U$6:$U$25,$S$6:$S$25=$A104,$R$6:$R$25=$B104),1),"""")))"),"")</f>
      </c>
    </row>
    <row r="105" ht="15.75" customHeight="1">
      <c r="X105" s="85">
        <f t="shared" si="22"/>
      </c>
      <c r="Y105" s="85">
        <f>IFERROR(__xludf.DUMMYFUNCTION("IF(NOT(X105),"""",IF($B105=""共通"",TEXTJOIN(""／"",TRUE,FILTER($R$6:$R$25&amp;"" ""&amp;$U$6:$U$25,$S$6:$S$25=$A105,$T$6:$T$25&lt;1,$T$6:$T$25&lt;&gt;"""")),IFERROR(INDEX(FILTER($U$6:$U$25,$S$6:$S$25=$A105,$R$6:$R$25=$B105),1),"""")))"),"")</f>
      </c>
    </row>
    <row r="106" ht="15.75" customHeight="1">
      <c r="X106" s="85">
        <f t="shared" si="22"/>
      </c>
      <c r="Y106" s="85">
        <f>IFERROR(__xludf.DUMMYFUNCTION("IF(NOT(X106),"""",IF($B106=""共通"",TEXTJOIN(""／"",TRUE,FILTER($R$6:$R$25&amp;"" ""&amp;$U$6:$U$25,$S$6:$S$25=$A106,$T$6:$T$25&lt;1,$T$6:$T$25&lt;&gt;"""")),IFERROR(INDEX(FILTER($U$6:$U$25,$S$6:$S$25=$A106,$R$6:$R$25=$B106),1),"""")))"),"")</f>
      </c>
    </row>
    <row r="107" ht="15.75" customHeight="1">
      <c r="X107" s="85">
        <f t="shared" si="22"/>
      </c>
      <c r="Y107" s="85">
        <f>IFERROR(__xludf.DUMMYFUNCTION("IF(NOT(X107),"""",IF($B107=""共通"",TEXTJOIN(""／"",TRUE,FILTER($R$6:$R$25&amp;"" ""&amp;$U$6:$U$25,$S$6:$S$25=$A107,$T$6:$T$25&lt;1,$T$6:$T$25&lt;&gt;"""")),IFERROR(INDEX(FILTER($U$6:$U$25,$S$6:$S$25=$A107,$R$6:$R$25=$B107),1),"""")))"),"")</f>
      </c>
    </row>
    <row r="108" ht="15.75" customHeight="1">
      <c r="X108" s="85">
        <f t="shared" si="22"/>
      </c>
      <c r="Y108" s="85">
        <f>IFERROR(__xludf.DUMMYFUNCTION("IF(NOT(X108),"""",IF($B108=""共通"",TEXTJOIN(""／"",TRUE,FILTER($R$6:$R$25&amp;"" ""&amp;$U$6:$U$25,$S$6:$S$25=$A108,$T$6:$T$25&lt;1,$T$6:$T$25&lt;&gt;"""")),IFERROR(INDEX(FILTER($U$6:$U$25,$S$6:$S$25=$A108,$R$6:$R$25=$B108),1),"""")))"),"")</f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</sheetData>
  <mergeCells count="95">
    <mergeCell ref="F58:J58"/>
    <mergeCell ref="F59:J59"/>
    <mergeCell ref="F48:J48"/>
    <mergeCell ref="F52:J52"/>
    <mergeCell ref="F53:J53"/>
    <mergeCell ref="F54:J54"/>
    <mergeCell ref="F55:J55"/>
    <mergeCell ref="F56:J56"/>
    <mergeCell ref="F57:J57"/>
    <mergeCell ref="C57:E57"/>
    <mergeCell ref="C58:E58"/>
    <mergeCell ref="C59:E59"/>
    <mergeCell ref="C60:E60"/>
    <mergeCell ref="F60:J60"/>
    <mergeCell ref="C61:E61"/>
    <mergeCell ref="F61:J61"/>
    <mergeCell ref="C62:E62"/>
    <mergeCell ref="F62:J62"/>
    <mergeCell ref="C63:E63"/>
    <mergeCell ref="F63:J63"/>
    <mergeCell ref="C64:E64"/>
    <mergeCell ref="F64:J64"/>
    <mergeCell ref="F65:J65"/>
    <mergeCell ref="C65:E65"/>
    <mergeCell ref="C66:E66"/>
    <mergeCell ref="F66:J66"/>
    <mergeCell ref="C67:E67"/>
    <mergeCell ref="F67:J67"/>
    <mergeCell ref="C68:E68"/>
    <mergeCell ref="F68:J68"/>
    <mergeCell ref="C69:E69"/>
    <mergeCell ref="F69:J69"/>
    <mergeCell ref="C70:E70"/>
    <mergeCell ref="F70:J70"/>
    <mergeCell ref="C71:E71"/>
    <mergeCell ref="F71:J71"/>
    <mergeCell ref="F72:J72"/>
    <mergeCell ref="C72:E72"/>
    <mergeCell ref="C73:E73"/>
    <mergeCell ref="F73:J73"/>
    <mergeCell ref="C74:E74"/>
    <mergeCell ref="F74:J74"/>
    <mergeCell ref="C75:E75"/>
    <mergeCell ref="F75:J75"/>
    <mergeCell ref="C76:E76"/>
    <mergeCell ref="F76:J76"/>
    <mergeCell ref="C77:E77"/>
    <mergeCell ref="F77:J77"/>
    <mergeCell ref="C78:E78"/>
    <mergeCell ref="F78:J78"/>
    <mergeCell ref="F79:J79"/>
    <mergeCell ref="J25:J26"/>
    <mergeCell ref="K25:K26"/>
    <mergeCell ref="A25:A26"/>
    <mergeCell ref="B25:C25"/>
    <mergeCell ref="D25:E25"/>
    <mergeCell ref="F25:F26"/>
    <mergeCell ref="G25:G26"/>
    <mergeCell ref="H25:H26"/>
    <mergeCell ref="I25:I26"/>
    <mergeCell ref="C37:E37"/>
    <mergeCell ref="F37:J37"/>
    <mergeCell ref="C38:E38"/>
    <mergeCell ref="F38:J38"/>
    <mergeCell ref="C39:E39"/>
    <mergeCell ref="F39:J39"/>
    <mergeCell ref="F40:J40"/>
    <mergeCell ref="C40:E40"/>
    <mergeCell ref="C41:E41"/>
    <mergeCell ref="C42:E42"/>
    <mergeCell ref="C43:E43"/>
    <mergeCell ref="C44:E44"/>
    <mergeCell ref="C45:E45"/>
    <mergeCell ref="C46:E46"/>
    <mergeCell ref="F41:J41"/>
    <mergeCell ref="F42:J42"/>
    <mergeCell ref="F43:J43"/>
    <mergeCell ref="F44:J44"/>
    <mergeCell ref="F45:J45"/>
    <mergeCell ref="F46:J46"/>
    <mergeCell ref="F47:J47"/>
    <mergeCell ref="C47:E47"/>
    <mergeCell ref="C48:E48"/>
    <mergeCell ref="C52:E52"/>
    <mergeCell ref="C53:E53"/>
    <mergeCell ref="C54:E54"/>
    <mergeCell ref="C55:E55"/>
    <mergeCell ref="C56:E56"/>
    <mergeCell ref="C79:E79"/>
    <mergeCell ref="C80:E80"/>
    <mergeCell ref="F80:J80"/>
    <mergeCell ref="C81:E81"/>
    <mergeCell ref="F81:J81"/>
    <mergeCell ref="C82:E82"/>
    <mergeCell ref="F82:J82"/>
  </mergeCells>
  <conditionalFormatting sqref="M38:M48">
    <cfRule type="cellIs" dxfId="8" priority="1" stopIfTrue="1" operator="equal">
      <formula>"未登録"</formula>
    </cfRule>
  </conditionalFormatting>
  <conditionalFormatting sqref="J9:K9">
    <cfRule type="cellIs" dxfId="9" priority="2" stopIfTrue="1" operator="equal">
      <formula>"上限超え"</formula>
    </cfRule>
  </conditionalFormatting>
  <conditionalFormatting sqref="J27:J32">
    <cfRule type="cellIs" dxfId="10" priority="3" stopIfTrue="1" operator="equal">
      <formula>"上限超え"</formula>
    </cfRule>
  </conditionalFormatting>
  <conditionalFormatting sqref="K27:K32">
    <cfRule type="cellIs" dxfId="9" priority="4" stopIfTrue="1" operator="equal">
      <formula>"撤退を検討"</formula>
    </cfRule>
  </conditionalFormatting>
  <conditionalFormatting sqref="B9:H9 B20:D20 F20:H20 J20:K20">
    <cfRule type="cellIs" dxfId="10" priority="5" stopIfTrue="1" operator="equal">
      <formula>"やや届かない"</formula>
    </cfRule>
  </conditionalFormatting>
  <conditionalFormatting sqref="B9:H9 B20:D20 F20:H20 J20:K20">
    <cfRule type="cellIs" dxfId="9" priority="6" stopIfTrue="1" operator="equal">
      <formula>"届かない"</formula>
    </cfRule>
  </conditionalFormatting>
  <dataValidations>
    <dataValidation type="list" allowBlank="1" showErrorMessage="1" sqref="B14">
      <formula1>'毎月の実績入力'!$C$4:$N$4</formula1>
    </dataValidation>
    <dataValidation type="list" allowBlank="1" showErrorMessage="1" sqref="A53:A82">
      <formula1>"リード数,有効リード率,商談化率,受注率,CPL"</formula1>
    </dataValidation>
    <dataValidation type="list" allowBlank="1" showErrorMessage="1" sqref="B53:B82">
      <formula1>"展示会,セミナー,Web広告,自社サイト,SNS,メール,共通,全体"</formula1>
    </dataValidation>
    <dataValidation type="list" allowBlank="1" showErrorMessage="1" sqref="K53:K82 M53:M82">
      <formula1>"4月,5月,6月,7月,8月,9月,10月,11月,12月,1月,2月,3月"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4.43"/>
    <col customWidth="1" min="3" max="3" width="12.29"/>
    <col customWidth="1" min="4" max="6" width="17.57"/>
    <col customWidth="1" min="7" max="11" width="14.29"/>
    <col customWidth="1" min="12" max="12" width="8.0"/>
    <col customWidth="1" min="13" max="13" width="37.29"/>
    <col customWidth="1" min="14" max="14" width="9.71"/>
    <col customWidth="1" min="15" max="15" width="10.71"/>
  </cols>
  <sheetData>
    <row r="1">
      <c r="A1" s="1" t="s">
        <v>3</v>
      </c>
      <c r="D1" s="3" t="s">
        <v>4</v>
      </c>
    </row>
    <row r="2">
      <c r="A2" s="3"/>
    </row>
    <row r="3">
      <c r="A3" s="5" t="s">
        <v>5</v>
      </c>
    </row>
    <row r="4">
      <c r="A4" s="7" t="s">
        <v>6</v>
      </c>
      <c r="B4" s="7" t="s">
        <v>11</v>
      </c>
      <c r="C4" s="7" t="s">
        <v>13</v>
      </c>
      <c r="D4" s="11" t="s">
        <v>14</v>
      </c>
      <c r="E4" s="12"/>
      <c r="F4" s="13"/>
      <c r="G4" s="11" t="s">
        <v>24</v>
      </c>
      <c r="H4" s="12"/>
      <c r="I4" s="12"/>
      <c r="J4" s="12"/>
      <c r="K4" s="13"/>
      <c r="L4" s="7" t="s">
        <v>27</v>
      </c>
      <c r="M4" s="7" t="s">
        <v>28</v>
      </c>
      <c r="N4" s="7" t="s">
        <v>30</v>
      </c>
      <c r="O4" s="7" t="s">
        <v>31</v>
      </c>
      <c r="P4" s="7" t="s">
        <v>32</v>
      </c>
    </row>
    <row r="5">
      <c r="A5" s="24"/>
      <c r="B5" s="24"/>
      <c r="C5" s="24"/>
      <c r="D5" s="29"/>
      <c r="E5" s="12"/>
      <c r="F5" s="13"/>
      <c r="G5" s="29"/>
      <c r="H5" s="12"/>
      <c r="I5" s="12"/>
      <c r="J5" s="12"/>
      <c r="K5" s="13"/>
      <c r="L5" s="24"/>
      <c r="M5" s="31"/>
      <c r="N5" s="24"/>
      <c r="O5" s="33"/>
      <c r="P5" s="24"/>
    </row>
    <row r="6">
      <c r="A6" s="24"/>
      <c r="B6" s="24"/>
      <c r="C6" s="24"/>
      <c r="D6" s="29"/>
      <c r="E6" s="12"/>
      <c r="F6" s="13"/>
      <c r="G6" s="29"/>
      <c r="H6" s="12"/>
      <c r="I6" s="12"/>
      <c r="J6" s="12"/>
      <c r="K6" s="13"/>
      <c r="L6" s="24"/>
      <c r="M6" s="31"/>
      <c r="N6" s="24"/>
      <c r="O6" s="33"/>
      <c r="P6" s="24"/>
    </row>
    <row r="7">
      <c r="A7" s="24"/>
      <c r="B7" s="24"/>
      <c r="C7" s="24"/>
      <c r="D7" s="29"/>
      <c r="E7" s="12"/>
      <c r="F7" s="13"/>
      <c r="G7" s="29"/>
      <c r="H7" s="12"/>
      <c r="I7" s="12"/>
      <c r="J7" s="12"/>
      <c r="K7" s="13"/>
      <c r="L7" s="24"/>
      <c r="M7" s="31"/>
      <c r="N7" s="24"/>
      <c r="O7" s="33"/>
      <c r="P7" s="38"/>
    </row>
    <row r="8">
      <c r="A8" s="24"/>
      <c r="B8" s="24"/>
      <c r="C8" s="24"/>
      <c r="D8" s="29"/>
      <c r="E8" s="12"/>
      <c r="F8" s="13"/>
      <c r="G8" s="29"/>
      <c r="H8" s="12"/>
      <c r="I8" s="12"/>
      <c r="J8" s="12"/>
      <c r="K8" s="13"/>
      <c r="L8" s="24"/>
      <c r="M8" s="31"/>
      <c r="N8" s="24"/>
      <c r="O8" s="33"/>
      <c r="P8" s="38"/>
    </row>
    <row r="9">
      <c r="A9" s="24"/>
      <c r="B9" s="24"/>
      <c r="C9" s="24"/>
      <c r="D9" s="29"/>
      <c r="E9" s="12"/>
      <c r="F9" s="13"/>
      <c r="G9" s="29"/>
      <c r="H9" s="12"/>
      <c r="I9" s="12"/>
      <c r="J9" s="12"/>
      <c r="K9" s="13"/>
      <c r="L9" s="24"/>
      <c r="M9" s="31"/>
      <c r="N9" s="24"/>
      <c r="O9" s="33"/>
      <c r="P9" s="38"/>
    </row>
    <row r="10">
      <c r="A10" s="24"/>
      <c r="B10" s="24"/>
      <c r="C10" s="24"/>
      <c r="D10" s="29"/>
      <c r="E10" s="12"/>
      <c r="F10" s="13"/>
      <c r="G10" s="29"/>
      <c r="H10" s="12"/>
      <c r="I10" s="12"/>
      <c r="J10" s="12"/>
      <c r="K10" s="13"/>
      <c r="L10" s="24"/>
      <c r="M10" s="31"/>
      <c r="N10" s="24"/>
      <c r="O10" s="33"/>
      <c r="P10" s="38"/>
    </row>
    <row r="11">
      <c r="A11" s="38"/>
      <c r="B11" s="38"/>
      <c r="C11" s="38"/>
      <c r="D11" s="29"/>
      <c r="E11" s="12"/>
      <c r="F11" s="13"/>
      <c r="G11" s="29"/>
      <c r="H11" s="12"/>
      <c r="I11" s="12"/>
      <c r="J11" s="12"/>
      <c r="K11" s="13"/>
      <c r="L11" s="38"/>
      <c r="M11" s="46"/>
      <c r="N11" s="38"/>
      <c r="O11" s="33"/>
      <c r="P11" s="38"/>
    </row>
    <row r="12">
      <c r="A12" s="38"/>
      <c r="B12" s="38"/>
      <c r="C12" s="38"/>
      <c r="D12" s="29"/>
      <c r="E12" s="12"/>
      <c r="F12" s="13"/>
      <c r="G12" s="29"/>
      <c r="H12" s="12"/>
      <c r="I12" s="12"/>
      <c r="J12" s="12"/>
      <c r="K12" s="13"/>
      <c r="L12" s="38"/>
      <c r="M12" s="46"/>
      <c r="N12" s="38"/>
      <c r="O12" s="33"/>
      <c r="P12" s="38"/>
    </row>
    <row r="13">
      <c r="A13" s="38"/>
      <c r="B13" s="38"/>
      <c r="C13" s="38"/>
      <c r="D13" s="29"/>
      <c r="E13" s="12"/>
      <c r="F13" s="13"/>
      <c r="G13" s="29"/>
      <c r="H13" s="12"/>
      <c r="I13" s="12"/>
      <c r="J13" s="12"/>
      <c r="K13" s="13"/>
      <c r="L13" s="38"/>
      <c r="M13" s="46"/>
      <c r="N13" s="38"/>
      <c r="O13" s="33"/>
      <c r="P13" s="38"/>
    </row>
    <row r="14">
      <c r="A14" s="38"/>
      <c r="B14" s="38"/>
      <c r="C14" s="38"/>
      <c r="D14" s="29"/>
      <c r="E14" s="12"/>
      <c r="F14" s="13"/>
      <c r="G14" s="29"/>
      <c r="H14" s="12"/>
      <c r="I14" s="12"/>
      <c r="J14" s="12"/>
      <c r="K14" s="13"/>
      <c r="L14" s="38"/>
      <c r="M14" s="46"/>
      <c r="N14" s="38"/>
      <c r="O14" s="33"/>
      <c r="P14" s="38"/>
    </row>
    <row r="15">
      <c r="A15" s="38"/>
      <c r="B15" s="38"/>
      <c r="C15" s="38"/>
      <c r="D15" s="29"/>
      <c r="E15" s="12"/>
      <c r="F15" s="13"/>
      <c r="G15" s="29"/>
      <c r="H15" s="12"/>
      <c r="I15" s="12"/>
      <c r="J15" s="12"/>
      <c r="K15" s="13"/>
      <c r="L15" s="38"/>
      <c r="M15" s="46"/>
      <c r="N15" s="38"/>
      <c r="O15" s="33"/>
      <c r="P15" s="38"/>
    </row>
    <row r="16">
      <c r="A16" s="38"/>
      <c r="B16" s="38"/>
      <c r="C16" s="38"/>
      <c r="D16" s="29"/>
      <c r="E16" s="12"/>
      <c r="F16" s="13"/>
      <c r="G16" s="29"/>
      <c r="H16" s="12"/>
      <c r="I16" s="12"/>
      <c r="J16" s="12"/>
      <c r="K16" s="13"/>
      <c r="L16" s="38"/>
      <c r="M16" s="46"/>
      <c r="N16" s="38"/>
      <c r="O16" s="33"/>
      <c r="P16" s="38"/>
    </row>
    <row r="17">
      <c r="A17" s="38"/>
      <c r="B17" s="38"/>
      <c r="C17" s="38"/>
      <c r="D17" s="29"/>
      <c r="E17" s="12"/>
      <c r="F17" s="13"/>
      <c r="G17" s="29"/>
      <c r="H17" s="12"/>
      <c r="I17" s="12"/>
      <c r="J17" s="12"/>
      <c r="K17" s="13"/>
      <c r="L17" s="38"/>
      <c r="M17" s="46"/>
      <c r="N17" s="38"/>
      <c r="O17" s="33"/>
      <c r="P17" s="38"/>
    </row>
    <row r="18">
      <c r="A18" s="38"/>
      <c r="B18" s="38"/>
      <c r="C18" s="38"/>
      <c r="D18" s="29"/>
      <c r="E18" s="12"/>
      <c r="F18" s="13"/>
      <c r="G18" s="29"/>
      <c r="H18" s="12"/>
      <c r="I18" s="12"/>
      <c r="J18" s="12"/>
      <c r="K18" s="13"/>
      <c r="L18" s="38"/>
      <c r="M18" s="46"/>
      <c r="N18" s="38"/>
      <c r="O18" s="33"/>
      <c r="P18" s="38"/>
    </row>
    <row r="19">
      <c r="A19" s="38"/>
      <c r="B19" s="38"/>
      <c r="C19" s="38"/>
      <c r="D19" s="29"/>
      <c r="E19" s="12"/>
      <c r="F19" s="13"/>
      <c r="G19" s="29"/>
      <c r="H19" s="12"/>
      <c r="I19" s="12"/>
      <c r="J19" s="12"/>
      <c r="K19" s="13"/>
      <c r="L19" s="38"/>
      <c r="M19" s="46"/>
      <c r="N19" s="38"/>
      <c r="O19" s="33"/>
      <c r="P19" s="38"/>
    </row>
    <row r="20">
      <c r="A20" s="38"/>
      <c r="B20" s="38"/>
      <c r="C20" s="38"/>
      <c r="D20" s="29"/>
      <c r="E20" s="12"/>
      <c r="F20" s="13"/>
      <c r="G20" s="29"/>
      <c r="H20" s="12"/>
      <c r="I20" s="12"/>
      <c r="J20" s="12"/>
      <c r="K20" s="13"/>
      <c r="L20" s="38"/>
      <c r="M20" s="46"/>
      <c r="N20" s="38"/>
      <c r="O20" s="33"/>
      <c r="P20" s="38"/>
    </row>
    <row r="21">
      <c r="A21" s="38"/>
      <c r="B21" s="38"/>
      <c r="C21" s="38"/>
      <c r="D21" s="29"/>
      <c r="E21" s="12"/>
      <c r="F21" s="13"/>
      <c r="G21" s="29"/>
      <c r="H21" s="12"/>
      <c r="I21" s="12"/>
      <c r="J21" s="12"/>
      <c r="K21" s="13"/>
      <c r="L21" s="38"/>
      <c r="M21" s="46"/>
      <c r="N21" s="38"/>
      <c r="O21" s="33"/>
      <c r="P21" s="38"/>
    </row>
    <row r="22">
      <c r="A22" s="38"/>
      <c r="B22" s="38"/>
      <c r="C22" s="38"/>
      <c r="D22" s="29"/>
      <c r="E22" s="12"/>
      <c r="F22" s="13"/>
      <c r="G22" s="29"/>
      <c r="H22" s="12"/>
      <c r="I22" s="12"/>
      <c r="J22" s="12"/>
      <c r="K22" s="13"/>
      <c r="L22" s="38"/>
      <c r="M22" s="46"/>
      <c r="N22" s="38"/>
      <c r="O22" s="33"/>
      <c r="P22" s="38"/>
    </row>
    <row r="23">
      <c r="A23" s="38"/>
      <c r="B23" s="38"/>
      <c r="C23" s="38"/>
      <c r="D23" s="29"/>
      <c r="E23" s="12"/>
      <c r="F23" s="13"/>
      <c r="G23" s="29"/>
      <c r="H23" s="12"/>
      <c r="I23" s="12"/>
      <c r="J23" s="12"/>
      <c r="K23" s="13"/>
      <c r="L23" s="38"/>
      <c r="M23" s="46"/>
      <c r="N23" s="38"/>
      <c r="O23" s="33"/>
      <c r="P23" s="38"/>
    </row>
    <row r="24">
      <c r="A24" s="60"/>
      <c r="B24" s="60"/>
      <c r="C24" s="60"/>
      <c r="D24" s="29"/>
      <c r="E24" s="12"/>
      <c r="F24" s="13"/>
      <c r="G24" s="29"/>
      <c r="H24" s="12"/>
      <c r="I24" s="12"/>
      <c r="J24" s="12"/>
      <c r="K24" s="13"/>
      <c r="L24" s="60"/>
      <c r="M24" s="61"/>
      <c r="N24" s="60"/>
      <c r="O24" s="62"/>
      <c r="P24" s="60"/>
    </row>
    <row r="25">
      <c r="A25" s="60"/>
      <c r="B25" s="60"/>
      <c r="C25" s="60"/>
      <c r="D25" s="29"/>
      <c r="E25" s="12"/>
      <c r="F25" s="13"/>
      <c r="G25" s="29"/>
      <c r="H25" s="12"/>
      <c r="I25" s="12"/>
      <c r="J25" s="12"/>
      <c r="K25" s="13"/>
      <c r="L25" s="60"/>
      <c r="M25" s="61"/>
      <c r="N25" s="60"/>
      <c r="O25" s="62"/>
      <c r="P25" s="60"/>
    </row>
    <row r="26">
      <c r="A26" s="60"/>
      <c r="B26" s="60"/>
      <c r="C26" s="60"/>
      <c r="D26" s="29"/>
      <c r="E26" s="12"/>
      <c r="F26" s="13"/>
      <c r="G26" s="29"/>
      <c r="H26" s="12"/>
      <c r="I26" s="12"/>
      <c r="J26" s="12"/>
      <c r="K26" s="13"/>
      <c r="L26" s="60"/>
      <c r="M26" s="61"/>
      <c r="N26" s="60"/>
      <c r="O26" s="62"/>
      <c r="P26" s="60"/>
    </row>
    <row r="27">
      <c r="A27" s="60"/>
      <c r="B27" s="60"/>
      <c r="C27" s="60"/>
      <c r="D27" s="29"/>
      <c r="E27" s="12"/>
      <c r="F27" s="13"/>
      <c r="G27" s="29"/>
      <c r="H27" s="12"/>
      <c r="I27" s="12"/>
      <c r="J27" s="12"/>
      <c r="K27" s="13"/>
      <c r="L27" s="60"/>
      <c r="M27" s="61"/>
      <c r="N27" s="60"/>
      <c r="O27" s="62"/>
      <c r="P27" s="60"/>
    </row>
    <row r="28">
      <c r="A28" s="60"/>
      <c r="B28" s="60"/>
      <c r="C28" s="60"/>
      <c r="D28" s="29"/>
      <c r="E28" s="12"/>
      <c r="F28" s="13"/>
      <c r="G28" s="29"/>
      <c r="H28" s="12"/>
      <c r="I28" s="12"/>
      <c r="J28" s="12"/>
      <c r="K28" s="13"/>
      <c r="L28" s="60"/>
      <c r="M28" s="61"/>
      <c r="N28" s="60"/>
      <c r="O28" s="62"/>
      <c r="P28" s="60"/>
    </row>
    <row r="29">
      <c r="A29" s="60"/>
      <c r="B29" s="60"/>
      <c r="C29" s="60"/>
      <c r="D29" s="29"/>
      <c r="E29" s="12"/>
      <c r="F29" s="13"/>
      <c r="G29" s="29"/>
      <c r="H29" s="12"/>
      <c r="I29" s="12"/>
      <c r="J29" s="12"/>
      <c r="K29" s="13"/>
      <c r="L29" s="60"/>
      <c r="M29" s="61"/>
      <c r="N29" s="60"/>
      <c r="O29" s="62"/>
      <c r="P29" s="60"/>
    </row>
    <row r="30">
      <c r="A30" s="60"/>
      <c r="B30" s="60"/>
      <c r="C30" s="60"/>
      <c r="D30" s="29"/>
      <c r="E30" s="12"/>
      <c r="F30" s="13"/>
      <c r="G30" s="29"/>
      <c r="H30" s="12"/>
      <c r="I30" s="12"/>
      <c r="J30" s="12"/>
      <c r="K30" s="13"/>
      <c r="L30" s="60"/>
      <c r="M30" s="61"/>
      <c r="N30" s="60"/>
      <c r="O30" s="62"/>
      <c r="P30" s="60"/>
    </row>
    <row r="31">
      <c r="A31" s="60"/>
      <c r="B31" s="60"/>
      <c r="C31" s="60"/>
      <c r="D31" s="29"/>
      <c r="E31" s="12"/>
      <c r="F31" s="13"/>
      <c r="G31" s="29"/>
      <c r="H31" s="12"/>
      <c r="I31" s="12"/>
      <c r="J31" s="12"/>
      <c r="K31" s="13"/>
      <c r="L31" s="60"/>
      <c r="M31" s="61"/>
      <c r="N31" s="60"/>
      <c r="O31" s="62"/>
      <c r="P31" s="60"/>
    </row>
    <row r="32">
      <c r="A32" s="60"/>
      <c r="B32" s="60"/>
      <c r="C32" s="60"/>
      <c r="D32" s="29"/>
      <c r="E32" s="12"/>
      <c r="F32" s="13"/>
      <c r="G32" s="29"/>
      <c r="H32" s="12"/>
      <c r="I32" s="12"/>
      <c r="J32" s="12"/>
      <c r="K32" s="13"/>
      <c r="L32" s="60"/>
      <c r="M32" s="61"/>
      <c r="N32" s="60"/>
      <c r="O32" s="62"/>
      <c r="P32" s="60"/>
    </row>
    <row r="33">
      <c r="A33" s="60"/>
      <c r="B33" s="60"/>
      <c r="C33" s="60"/>
      <c r="D33" s="29"/>
      <c r="E33" s="12"/>
      <c r="F33" s="13"/>
      <c r="G33" s="29"/>
      <c r="H33" s="12"/>
      <c r="I33" s="12"/>
      <c r="J33" s="12"/>
      <c r="K33" s="13"/>
      <c r="L33" s="60"/>
      <c r="M33" s="61"/>
      <c r="N33" s="60"/>
      <c r="O33" s="62"/>
      <c r="P33" s="60"/>
    </row>
    <row r="34">
      <c r="A34" s="60"/>
      <c r="B34" s="60"/>
      <c r="C34" s="60"/>
      <c r="D34" s="29"/>
      <c r="E34" s="12"/>
      <c r="F34" s="13"/>
      <c r="G34" s="29"/>
      <c r="H34" s="12"/>
      <c r="I34" s="12"/>
      <c r="J34" s="12"/>
      <c r="K34" s="13"/>
      <c r="L34" s="60"/>
      <c r="M34" s="61"/>
      <c r="N34" s="60"/>
      <c r="O34" s="62"/>
      <c r="P34" s="60"/>
    </row>
    <row r="35">
      <c r="A35" s="60"/>
      <c r="B35" s="60"/>
      <c r="C35" s="60"/>
      <c r="D35" s="29"/>
      <c r="E35" s="12"/>
      <c r="F35" s="13"/>
      <c r="G35" s="29"/>
      <c r="H35" s="12"/>
      <c r="I35" s="12"/>
      <c r="J35" s="12"/>
      <c r="K35" s="13"/>
      <c r="L35" s="60"/>
      <c r="M35" s="61"/>
      <c r="N35" s="60"/>
      <c r="O35" s="62"/>
      <c r="P35" s="60"/>
    </row>
    <row r="36">
      <c r="A36" s="60"/>
      <c r="B36" s="60"/>
      <c r="C36" s="60"/>
      <c r="D36" s="29"/>
      <c r="E36" s="12"/>
      <c r="F36" s="13"/>
      <c r="G36" s="29"/>
      <c r="H36" s="12"/>
      <c r="I36" s="12"/>
      <c r="J36" s="12"/>
      <c r="K36" s="13"/>
      <c r="L36" s="60"/>
      <c r="M36" s="61"/>
      <c r="N36" s="60"/>
      <c r="O36" s="62"/>
      <c r="P36" s="60"/>
    </row>
    <row r="37">
      <c r="A37" s="60"/>
      <c r="B37" s="60"/>
      <c r="C37" s="60"/>
      <c r="D37" s="29"/>
      <c r="E37" s="12"/>
      <c r="F37" s="13"/>
      <c r="G37" s="29"/>
      <c r="H37" s="12"/>
      <c r="I37" s="12"/>
      <c r="J37" s="12"/>
      <c r="K37" s="13"/>
      <c r="L37" s="60"/>
      <c r="M37" s="61"/>
      <c r="N37" s="60"/>
      <c r="O37" s="62"/>
      <c r="P37" s="60"/>
    </row>
    <row r="38">
      <c r="A38" s="60"/>
      <c r="B38" s="60"/>
      <c r="C38" s="60"/>
      <c r="D38" s="29"/>
      <c r="E38" s="12"/>
      <c r="F38" s="13"/>
      <c r="G38" s="29"/>
      <c r="H38" s="12"/>
      <c r="I38" s="12"/>
      <c r="J38" s="12"/>
      <c r="K38" s="13"/>
      <c r="L38" s="60"/>
      <c r="M38" s="61"/>
      <c r="N38" s="60"/>
      <c r="O38" s="62"/>
      <c r="P38" s="60"/>
    </row>
    <row r="39">
      <c r="A39" s="60"/>
      <c r="B39" s="60"/>
      <c r="C39" s="60"/>
      <c r="D39" s="29"/>
      <c r="E39" s="12"/>
      <c r="F39" s="13"/>
      <c r="G39" s="29"/>
      <c r="H39" s="12"/>
      <c r="I39" s="12"/>
      <c r="J39" s="12"/>
      <c r="K39" s="13"/>
      <c r="L39" s="60"/>
      <c r="M39" s="61"/>
      <c r="N39" s="60"/>
      <c r="O39" s="62"/>
      <c r="P39" s="60"/>
    </row>
    <row r="40">
      <c r="A40" s="60"/>
      <c r="B40" s="60"/>
      <c r="C40" s="60"/>
      <c r="D40" s="29"/>
      <c r="E40" s="12"/>
      <c r="F40" s="13"/>
      <c r="G40" s="29"/>
      <c r="H40" s="12"/>
      <c r="I40" s="12"/>
      <c r="J40" s="12"/>
      <c r="K40" s="13"/>
      <c r="L40" s="60"/>
      <c r="M40" s="61"/>
      <c r="N40" s="60"/>
      <c r="O40" s="62"/>
      <c r="P40" s="60"/>
    </row>
    <row r="41">
      <c r="A41" s="60"/>
      <c r="B41" s="60"/>
      <c r="C41" s="60"/>
      <c r="D41" s="29"/>
      <c r="E41" s="12"/>
      <c r="F41" s="13"/>
      <c r="G41" s="29"/>
      <c r="H41" s="12"/>
      <c r="I41" s="12"/>
      <c r="J41" s="12"/>
      <c r="K41" s="13"/>
      <c r="L41" s="60"/>
      <c r="M41" s="61"/>
      <c r="N41" s="60"/>
      <c r="O41" s="62"/>
      <c r="P41" s="60"/>
    </row>
    <row r="42">
      <c r="A42" s="60"/>
      <c r="B42" s="60"/>
      <c r="C42" s="60"/>
      <c r="D42" s="29"/>
      <c r="E42" s="12"/>
      <c r="F42" s="13"/>
      <c r="G42" s="29"/>
      <c r="H42" s="12"/>
      <c r="I42" s="12"/>
      <c r="J42" s="12"/>
      <c r="K42" s="13"/>
      <c r="L42" s="60"/>
      <c r="M42" s="61"/>
      <c r="N42" s="60"/>
      <c r="O42" s="62"/>
      <c r="P42" s="60"/>
    </row>
    <row r="43">
      <c r="A43" s="60"/>
      <c r="B43" s="60"/>
      <c r="C43" s="60"/>
      <c r="D43" s="29"/>
      <c r="E43" s="12"/>
      <c r="F43" s="13"/>
      <c r="G43" s="29"/>
      <c r="H43" s="12"/>
      <c r="I43" s="12"/>
      <c r="J43" s="12"/>
      <c r="K43" s="13"/>
      <c r="L43" s="60"/>
      <c r="M43" s="61"/>
      <c r="N43" s="60"/>
      <c r="O43" s="62"/>
      <c r="P43" s="60"/>
    </row>
    <row r="44">
      <c r="A44" s="60"/>
      <c r="B44" s="60"/>
      <c r="C44" s="60"/>
      <c r="D44" s="29"/>
      <c r="E44" s="12"/>
      <c r="F44" s="13"/>
      <c r="G44" s="29"/>
      <c r="H44" s="12"/>
      <c r="I44" s="12"/>
      <c r="J44" s="12"/>
      <c r="K44" s="13"/>
      <c r="L44" s="60"/>
      <c r="M44" s="61"/>
      <c r="N44" s="60"/>
      <c r="O44" s="62"/>
      <c r="P44" s="60"/>
    </row>
    <row r="45">
      <c r="A45" s="60"/>
      <c r="B45" s="60"/>
      <c r="C45" s="60"/>
      <c r="D45" s="29"/>
      <c r="E45" s="12"/>
      <c r="F45" s="13"/>
      <c r="G45" s="29"/>
      <c r="H45" s="12"/>
      <c r="I45" s="12"/>
      <c r="J45" s="12"/>
      <c r="K45" s="13"/>
      <c r="L45" s="60"/>
      <c r="M45" s="61"/>
      <c r="N45" s="60"/>
      <c r="O45" s="62"/>
      <c r="P45" s="60"/>
    </row>
    <row r="46">
      <c r="A46" s="60"/>
      <c r="B46" s="60"/>
      <c r="C46" s="60"/>
      <c r="D46" s="29"/>
      <c r="E46" s="12"/>
      <c r="F46" s="13"/>
      <c r="G46" s="29"/>
      <c r="H46" s="12"/>
      <c r="I46" s="12"/>
      <c r="J46" s="12"/>
      <c r="K46" s="13"/>
      <c r="L46" s="60"/>
      <c r="M46" s="61"/>
      <c r="N46" s="60"/>
      <c r="O46" s="62"/>
      <c r="P46" s="60"/>
    </row>
    <row r="47">
      <c r="A47" s="60"/>
      <c r="B47" s="60"/>
      <c r="C47" s="60"/>
      <c r="D47" s="29"/>
      <c r="E47" s="12"/>
      <c r="F47" s="13"/>
      <c r="G47" s="29"/>
      <c r="H47" s="12"/>
      <c r="I47" s="12"/>
      <c r="J47" s="12"/>
      <c r="K47" s="13"/>
      <c r="L47" s="60"/>
      <c r="M47" s="61"/>
      <c r="N47" s="60"/>
      <c r="O47" s="62"/>
      <c r="P47" s="60"/>
    </row>
    <row r="48">
      <c r="A48" s="60"/>
      <c r="B48" s="60"/>
      <c r="C48" s="60"/>
      <c r="D48" s="29"/>
      <c r="E48" s="12"/>
      <c r="F48" s="13"/>
      <c r="G48" s="29"/>
      <c r="H48" s="12"/>
      <c r="I48" s="12"/>
      <c r="J48" s="12"/>
      <c r="K48" s="13"/>
      <c r="L48" s="60"/>
      <c r="M48" s="61"/>
      <c r="N48" s="60"/>
      <c r="O48" s="62"/>
      <c r="P48" s="60"/>
    </row>
    <row r="49">
      <c r="A49" s="60"/>
      <c r="B49" s="60"/>
      <c r="C49" s="60"/>
      <c r="D49" s="29"/>
      <c r="E49" s="12"/>
      <c r="F49" s="13"/>
      <c r="G49" s="29"/>
      <c r="H49" s="12"/>
      <c r="I49" s="12"/>
      <c r="J49" s="12"/>
      <c r="K49" s="13"/>
      <c r="L49" s="60"/>
      <c r="M49" s="61"/>
      <c r="N49" s="60"/>
      <c r="O49" s="62"/>
      <c r="P49" s="60"/>
    </row>
    <row r="50">
      <c r="A50" s="60"/>
      <c r="B50" s="60"/>
      <c r="C50" s="60"/>
      <c r="D50" s="29"/>
      <c r="E50" s="12"/>
      <c r="F50" s="13"/>
      <c r="G50" s="29"/>
      <c r="H50" s="12"/>
      <c r="I50" s="12"/>
      <c r="J50" s="12"/>
      <c r="K50" s="13"/>
      <c r="L50" s="60"/>
      <c r="M50" s="61"/>
      <c r="N50" s="60"/>
      <c r="O50" s="62"/>
      <c r="P50" s="60"/>
    </row>
    <row r="51">
      <c r="A51" s="24"/>
      <c r="B51" s="60"/>
      <c r="C51" s="60"/>
      <c r="D51" s="29"/>
      <c r="E51" s="12"/>
      <c r="F51" s="13"/>
      <c r="G51" s="29"/>
      <c r="H51" s="12"/>
      <c r="I51" s="12"/>
      <c r="J51" s="12"/>
      <c r="K51" s="13"/>
      <c r="L51" s="60"/>
      <c r="M51" s="61"/>
      <c r="N51" s="60"/>
      <c r="O51" s="62"/>
      <c r="P51" s="60"/>
    </row>
    <row r="52">
      <c r="A52" s="24"/>
      <c r="B52" s="60"/>
      <c r="C52" s="60"/>
      <c r="D52" s="29"/>
      <c r="E52" s="12"/>
      <c r="F52" s="13"/>
      <c r="G52" s="29"/>
      <c r="H52" s="12"/>
      <c r="I52" s="12"/>
      <c r="J52" s="12"/>
      <c r="K52" s="13"/>
      <c r="L52" s="60"/>
      <c r="M52" s="61"/>
      <c r="N52" s="60"/>
      <c r="O52" s="62"/>
      <c r="P52" s="60"/>
    </row>
    <row r="53">
      <c r="A53" s="24"/>
      <c r="B53" s="60"/>
      <c r="C53" s="60"/>
      <c r="D53" s="29"/>
      <c r="E53" s="12"/>
      <c r="F53" s="13"/>
      <c r="G53" s="29"/>
      <c r="H53" s="12"/>
      <c r="I53" s="12"/>
      <c r="J53" s="12"/>
      <c r="K53" s="13"/>
      <c r="L53" s="60"/>
      <c r="M53" s="61"/>
      <c r="N53" s="60"/>
      <c r="O53" s="62"/>
      <c r="P53" s="60"/>
    </row>
    <row r="54">
      <c r="A54" s="24"/>
      <c r="B54" s="60"/>
      <c r="C54" s="60"/>
      <c r="D54" s="29"/>
      <c r="E54" s="12"/>
      <c r="F54" s="13"/>
      <c r="G54" s="29"/>
      <c r="H54" s="12"/>
      <c r="I54" s="12"/>
      <c r="J54" s="12"/>
      <c r="K54" s="13"/>
      <c r="L54" s="60"/>
      <c r="M54" s="61"/>
      <c r="N54" s="60"/>
      <c r="O54" s="62"/>
      <c r="P54" s="60"/>
    </row>
    <row r="55">
      <c r="A55" s="5"/>
      <c r="C55" s="85"/>
      <c r="M55" s="95"/>
    </row>
    <row r="56">
      <c r="A56" s="3"/>
      <c r="C56" s="85"/>
      <c r="M56" s="95"/>
    </row>
    <row r="57">
      <c r="A57" s="3"/>
      <c r="C57" s="85"/>
      <c r="M57" s="95"/>
    </row>
    <row r="58">
      <c r="A58" s="2"/>
      <c r="C58" s="85"/>
      <c r="M58" s="95"/>
    </row>
    <row r="59">
      <c r="A59" s="3"/>
      <c r="C59" s="85"/>
      <c r="M59" s="95"/>
    </row>
    <row r="60">
      <c r="A60" s="2"/>
      <c r="C60" s="85"/>
      <c r="M60" s="95"/>
    </row>
    <row r="61">
      <c r="A61" s="2"/>
      <c r="C61" s="85"/>
      <c r="M61" s="95"/>
    </row>
    <row r="62">
      <c r="A62" s="2"/>
      <c r="C62" s="85"/>
      <c r="M62" s="95"/>
    </row>
    <row r="63">
      <c r="A63" s="2"/>
      <c r="C63" s="85"/>
      <c r="M63" s="95"/>
    </row>
    <row r="64">
      <c r="A64" s="2"/>
      <c r="C64" s="85"/>
      <c r="M64" s="95"/>
    </row>
    <row r="65">
      <c r="A65" s="2"/>
      <c r="C65" s="85"/>
      <c r="M65" s="95"/>
    </row>
    <row r="66">
      <c r="C66" s="85"/>
      <c r="M66" s="95"/>
    </row>
    <row r="67">
      <c r="C67" s="85"/>
      <c r="M67" s="95"/>
    </row>
    <row r="68">
      <c r="C68" s="85"/>
      <c r="M68" s="95"/>
    </row>
    <row r="69">
      <c r="C69" s="85"/>
      <c r="M69" s="95"/>
    </row>
  </sheetData>
  <mergeCells count="102">
    <mergeCell ref="G29:K29"/>
    <mergeCell ref="G30:K30"/>
    <mergeCell ref="G22:K22"/>
    <mergeCell ref="G23:K23"/>
    <mergeCell ref="G24:K24"/>
    <mergeCell ref="G25:K25"/>
    <mergeCell ref="G26:K26"/>
    <mergeCell ref="G27:K27"/>
    <mergeCell ref="G28:K28"/>
    <mergeCell ref="D28:F28"/>
    <mergeCell ref="D29:F29"/>
    <mergeCell ref="D30:F30"/>
    <mergeCell ref="D31:F31"/>
    <mergeCell ref="G31:K31"/>
    <mergeCell ref="D32:F32"/>
    <mergeCell ref="G32:K32"/>
    <mergeCell ref="D33:F33"/>
    <mergeCell ref="G33:K33"/>
    <mergeCell ref="D34:F34"/>
    <mergeCell ref="G34:K34"/>
    <mergeCell ref="D35:F35"/>
    <mergeCell ref="G35:K35"/>
    <mergeCell ref="G36:K36"/>
    <mergeCell ref="D36:F36"/>
    <mergeCell ref="D37:F37"/>
    <mergeCell ref="G37:K37"/>
    <mergeCell ref="D38:F38"/>
    <mergeCell ref="G38:K38"/>
    <mergeCell ref="D39:F39"/>
    <mergeCell ref="G39:K39"/>
    <mergeCell ref="D40:F40"/>
    <mergeCell ref="G40:K40"/>
    <mergeCell ref="D41:F41"/>
    <mergeCell ref="G41:K41"/>
    <mergeCell ref="D42:F42"/>
    <mergeCell ref="G42:K42"/>
    <mergeCell ref="G43:K43"/>
    <mergeCell ref="D43:F43"/>
    <mergeCell ref="D44:F44"/>
    <mergeCell ref="G44:K44"/>
    <mergeCell ref="D45:F45"/>
    <mergeCell ref="G45:K45"/>
    <mergeCell ref="D46:F46"/>
    <mergeCell ref="G46:K46"/>
    <mergeCell ref="D47:F47"/>
    <mergeCell ref="G47:K47"/>
    <mergeCell ref="D48:F48"/>
    <mergeCell ref="G48:K48"/>
    <mergeCell ref="D49:F49"/>
    <mergeCell ref="G49:K49"/>
    <mergeCell ref="G50:K50"/>
    <mergeCell ref="D4:F4"/>
    <mergeCell ref="G4:K4"/>
    <mergeCell ref="D5:F5"/>
    <mergeCell ref="G5:K5"/>
    <mergeCell ref="D6:F6"/>
    <mergeCell ref="G6:K6"/>
    <mergeCell ref="G7:K7"/>
    <mergeCell ref="D7:F7"/>
    <mergeCell ref="D8:F8"/>
    <mergeCell ref="D9:F9"/>
    <mergeCell ref="D10:F10"/>
    <mergeCell ref="D11:F11"/>
    <mergeCell ref="D12:F12"/>
    <mergeCell ref="D13:F13"/>
    <mergeCell ref="G8:K8"/>
    <mergeCell ref="G9:K9"/>
    <mergeCell ref="G10:K10"/>
    <mergeCell ref="G11:K11"/>
    <mergeCell ref="G12:K12"/>
    <mergeCell ref="G13:K13"/>
    <mergeCell ref="G14:K14"/>
    <mergeCell ref="D14:F14"/>
    <mergeCell ref="D15:F15"/>
    <mergeCell ref="D16:F16"/>
    <mergeCell ref="D17:F17"/>
    <mergeCell ref="D18:F18"/>
    <mergeCell ref="D19:F19"/>
    <mergeCell ref="D20:F20"/>
    <mergeCell ref="G15:K15"/>
    <mergeCell ref="G16:K16"/>
    <mergeCell ref="G17:K17"/>
    <mergeCell ref="G18:K18"/>
    <mergeCell ref="G19:K19"/>
    <mergeCell ref="G20:K20"/>
    <mergeCell ref="G21:K21"/>
    <mergeCell ref="D21:F21"/>
    <mergeCell ref="D22:F22"/>
    <mergeCell ref="D23:F23"/>
    <mergeCell ref="D24:F24"/>
    <mergeCell ref="D25:F25"/>
    <mergeCell ref="D26:F26"/>
    <mergeCell ref="D27:F27"/>
    <mergeCell ref="D54:F54"/>
    <mergeCell ref="G54:K54"/>
    <mergeCell ref="D50:F50"/>
    <mergeCell ref="D51:F51"/>
    <mergeCell ref="G51:K51"/>
    <mergeCell ref="D52:F52"/>
    <mergeCell ref="G52:K52"/>
    <mergeCell ref="D53:F53"/>
    <mergeCell ref="G53:K53"/>
  </mergeCells>
  <dataValidations>
    <dataValidation type="list" allowBlank="1" showErrorMessage="1" sqref="P5:P54">
      <formula1>"効果あり,効果なし,判断できない"</formula1>
    </dataValidation>
    <dataValidation type="list" allowBlank="1" showErrorMessage="1" sqref="N5:N54">
      <formula1>"予定,実施中,完了,中止"</formula1>
    </dataValidation>
    <dataValidation type="decimal" operator="greaterThanOrEqual" allowBlank="1" showDropDown="1" showErrorMessage="1" sqref="O5:O54">
      <formula1>0.0</formula1>
    </dataValidation>
    <dataValidation type="list" allowBlank="1" showErrorMessage="1" sqref="B5:B54">
      <formula1>"リード数,有効リード率,商談化率,受注率,CPL"</formula1>
    </dataValidation>
    <dataValidation type="list" allowBlank="1" showErrorMessage="1" sqref="C5:C69">
      <formula1>"展示会,セミナー,Web広告,自社サイト,SNS,メール,共通,全体"</formula1>
    </dataValidation>
    <dataValidation type="list" allowBlank="1" showErrorMessage="1" sqref="A5:A54 L5:L54">
      <formula1>"4月,5月,6月,7月,8月,9月,10月,11月,12月,1月,2月,3月"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6.14"/>
    <col customWidth="1" min="2" max="12" width="10.86"/>
    <col hidden="1" min="13" max="22" width="14.43"/>
  </cols>
  <sheetData>
    <row r="1" ht="16.5" customHeight="1">
      <c r="A1" s="109">
        <f>"マーケティング月次報告　"&amp;$J$1</f>
      </c>
      <c r="B1" s="109"/>
      <c r="C1" s="109"/>
      <c r="D1" s="109"/>
      <c r="E1" s="109"/>
      <c r="F1" s="109"/>
      <c r="G1" s="109"/>
      <c r="H1" s="109"/>
      <c r="I1" s="110" t="s">
        <v>153</v>
      </c>
      <c r="J1" s="87" t="s">
        <v>115</v>
      </c>
      <c r="K1" s="111">
        <f>$N$2&amp;"か月目"</f>
      </c>
      <c r="L1" s="110" t="s">
        <v>164</v>
      </c>
      <c r="M1" s="30" t="s">
        <v>165</v>
      </c>
      <c r="R1" s="27" t="s">
        <v>166</v>
      </c>
      <c r="S1" s="27" t="s">
        <v>11</v>
      </c>
      <c r="T1" s="27" t="s">
        <v>44</v>
      </c>
      <c r="U1" s="27" t="s">
        <v>14</v>
      </c>
      <c r="V1" s="27" t="s">
        <v>45</v>
      </c>
    </row>
    <row r="2" ht="16.5" customHeigh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30" t="s">
        <v>154</v>
      </c>
      <c r="N2" s="85">
        <f>IFERROR(MATCH($J$1,'毎月の実績入力'!$C$4:$N$4,0),"")</f>
      </c>
      <c r="R2" s="85">
        <f t="shared" ref="R2:R7" si="1">$A32</f>
      </c>
      <c r="S2" s="27" t="s">
        <v>34</v>
      </c>
      <c r="T2" s="113">
        <f t="shared" ref="T2:T7" si="2">IF(ISNUMBER($C32),$C32,"")</f>
      </c>
      <c r="U2" s="85">
        <f t="shared" ref="U2:U7" si="3">IF(OR(T2="",T2&gt;=1),"",$A32&amp;"のリード数が計画を下回っている（達成率"&amp;TEXT(T2,"0%")&amp;"）")</f>
      </c>
      <c r="V2" s="85">
        <f t="shared" ref="V2:V13" si="4">IF(T2="","",IF(T2&gt;=1,"達成",IF(T2&gt;=0.9,"やや届かない","届かない")))</f>
      </c>
    </row>
    <row r="3">
      <c r="A3" s="114" t="s">
        <v>167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30" t="s">
        <v>17</v>
      </c>
      <c r="N3" s="104">
        <f>'はじめに入力'!$C$7</f>
      </c>
      <c r="R3" s="85">
        <f t="shared" si="1"/>
      </c>
      <c r="S3" s="27" t="s">
        <v>34</v>
      </c>
      <c r="T3" s="113">
        <f t="shared" si="2"/>
      </c>
      <c r="U3" s="85">
        <f t="shared" si="3"/>
      </c>
      <c r="V3" s="85">
        <f t="shared" si="4"/>
      </c>
    </row>
    <row r="4" ht="16.5" customHeight="1">
      <c r="R4" s="85">
        <f t="shared" si="1"/>
      </c>
      <c r="S4" s="27" t="s">
        <v>34</v>
      </c>
      <c r="T4" s="113">
        <f t="shared" si="2"/>
      </c>
      <c r="U4" s="85">
        <f t="shared" si="3"/>
      </c>
      <c r="V4" s="85">
        <f t="shared" si="4"/>
      </c>
    </row>
    <row r="5" ht="16.5" customHeight="1">
      <c r="A5" s="116" t="s">
        <v>168</v>
      </c>
      <c r="D5" s="116" t="s">
        <v>169</v>
      </c>
      <c r="F5" s="116" t="s">
        <v>44</v>
      </c>
      <c r="H5" s="112"/>
      <c r="I5" s="112"/>
      <c r="J5" s="112"/>
      <c r="K5" s="112"/>
      <c r="L5" s="112"/>
      <c r="M5" s="30" t="s">
        <v>20</v>
      </c>
      <c r="N5" s="117">
        <f>'はじめに入力'!$F$7</f>
      </c>
      <c r="R5" s="85">
        <f t="shared" si="1"/>
      </c>
      <c r="S5" s="27" t="s">
        <v>34</v>
      </c>
      <c r="T5" s="113">
        <f t="shared" si="2"/>
      </c>
      <c r="U5" s="85">
        <f t="shared" si="3"/>
      </c>
      <c r="V5" s="85">
        <f t="shared" si="4"/>
      </c>
    </row>
    <row r="6" ht="28.5" customHeight="1">
      <c r="A6" s="118">
        <f>$N$7</f>
      </c>
      <c r="D6" s="118">
        <f>'はじめに入力'!$H$17</f>
      </c>
      <c r="F6" s="119">
        <f>IFERROR($N$7/'はじめに入力'!$H$17,"—")</f>
      </c>
      <c r="H6" s="112"/>
      <c r="I6" s="112"/>
      <c r="J6" s="112"/>
      <c r="K6" s="112"/>
      <c r="L6" s="112"/>
      <c r="M6" s="30" t="s">
        <v>170</v>
      </c>
      <c r="N6" s="104">
        <f>SUM(OFFSET('毎月の実績入力'!$C$7,0,0,1,N2))</f>
      </c>
      <c r="R6" s="85">
        <f t="shared" si="1"/>
      </c>
      <c r="S6" s="27" t="s">
        <v>34</v>
      </c>
      <c r="T6" s="113">
        <f t="shared" si="2"/>
      </c>
      <c r="U6" s="85">
        <f t="shared" si="3"/>
      </c>
      <c r="V6" s="85">
        <f t="shared" si="4"/>
      </c>
    </row>
    <row r="7" ht="16.5" customHeight="1">
      <c r="A7" s="116" t="s">
        <v>171</v>
      </c>
      <c r="D7" s="116" t="s">
        <v>172</v>
      </c>
      <c r="F7" s="116" t="s">
        <v>173</v>
      </c>
      <c r="H7" s="112"/>
      <c r="I7" s="112"/>
      <c r="J7" s="112"/>
      <c r="K7" s="112"/>
      <c r="L7" s="112"/>
      <c r="M7" s="30" t="s">
        <v>174</v>
      </c>
      <c r="N7" s="104">
        <f>SUM(OFFSET('毎月の実績入力'!$C$8,0,0,1,N2))</f>
      </c>
      <c r="R7" s="85">
        <f t="shared" si="1"/>
      </c>
      <c r="S7" s="27" t="s">
        <v>34</v>
      </c>
      <c r="T7" s="113">
        <f t="shared" si="2"/>
      </c>
      <c r="U7" s="85">
        <f t="shared" si="3"/>
      </c>
      <c r="V7" s="85">
        <f t="shared" si="4"/>
      </c>
    </row>
    <row r="8" ht="29.25" customHeight="1">
      <c r="A8" s="118">
        <f>IFERROR($N$12/$N$3,0)</f>
      </c>
      <c r="C8" s="120">
        <f>IFERROR(IF($N$12/$N$14&gt;=1,"届く",IF($N$12/$N$14&gt;=0.9,"やや届かない","届かない")),"")</f>
      </c>
      <c r="D8" s="119">
        <f>IFERROR($N$12/$N$14,"—")</f>
      </c>
      <c r="F8" s="121">
        <f>MAX(0,ROUNDUP('はじめに入力'!$H$17-$N$12/$N$3,0))</f>
      </c>
      <c r="H8" s="112"/>
      <c r="I8" s="112"/>
      <c r="J8" s="112"/>
      <c r="K8" s="112"/>
      <c r="L8" s="112"/>
      <c r="M8" s="30" t="s">
        <v>175</v>
      </c>
      <c r="N8" s="85">
        <f>N7*N3</f>
      </c>
      <c r="R8" s="85">
        <f t="shared" ref="R8:R13" si="5">$A32</f>
      </c>
      <c r="S8" s="27" t="s">
        <v>36</v>
      </c>
      <c r="T8" s="85">
        <f t="shared" ref="T8:T13" si="6">IF(AND(ISNUMBER($C32),ISNUMBER($E32)),IFERROR($E32/$C32,""),"")</f>
      </c>
      <c r="U8" s="85">
        <f t="shared" ref="U8:U13" si="7">IF(OR(T8="",T8&gt;=1),"",$A32&amp;"の有効リード率が計画を下回っている（達成率"&amp;TEXT(T8,"0%")&amp;"）")</f>
      </c>
      <c r="V8" s="85">
        <f t="shared" si="4"/>
      </c>
    </row>
    <row r="9" ht="16.5" customHeight="1">
      <c r="A9" s="122">
        <f>IFERROR(__xludf.DUMMYFUNCTION("IFERROR(SPARKLINE({MIN($N$12/$N$3,'はじめに入力'!$H$17),MAX(0,'はじめに入力'!$H$17-$N$12/$N$3)},{""charttype"",""bar"";""max"",MAX('はじめに入力'!$H$17,$N$12/$N$3);""color1"",""#ffffff"";""color2"",""#e06666""}),"""")"),"")</f>
      </c>
      <c r="H9" s="112"/>
      <c r="I9" s="112"/>
      <c r="J9" s="112"/>
      <c r="K9" s="112"/>
      <c r="L9" s="112"/>
      <c r="M9" s="30" t="s">
        <v>176</v>
      </c>
      <c r="N9" s="85">
        <f>MAX(0,N6-N7)</f>
      </c>
      <c r="R9" s="85">
        <f t="shared" si="5"/>
      </c>
      <c r="S9" s="27" t="s">
        <v>36</v>
      </c>
      <c r="T9" s="85">
        <f t="shared" si="6"/>
      </c>
      <c r="U9" s="85">
        <f t="shared" si="7"/>
      </c>
      <c r="V9" s="85">
        <f t="shared" si="4"/>
      </c>
    </row>
    <row r="10" ht="16.5" customHeight="1">
      <c r="A10" s="122">
        <f>IF($N$15&lt;=0,"着地見込みは年間目標に届いています",IF($N$16&lt;=$N$2,"期内の挽回は難しく、不足分は来期の計画で扱います",$N$17&amp;"までにリード＋"&amp;$N$19&amp;"件（商談＋"&amp;$N$18&amp;"件）で間に合う"))</f>
      </c>
      <c r="H10" s="112"/>
      <c r="I10" s="112"/>
      <c r="J10" s="112"/>
      <c r="K10" s="112"/>
      <c r="L10" s="112"/>
      <c r="M10" s="30" t="s">
        <v>177</v>
      </c>
      <c r="N10" s="85">
        <f>N9*'はじめに入力'!$G$17*N3</f>
      </c>
      <c r="R10" s="85">
        <f t="shared" si="5"/>
      </c>
      <c r="S10" s="27" t="s">
        <v>36</v>
      </c>
      <c r="T10" s="85">
        <f t="shared" si="6"/>
      </c>
      <c r="U10" s="85">
        <f t="shared" si="7"/>
      </c>
      <c r="V10" s="85">
        <f t="shared" si="4"/>
      </c>
    </row>
    <row r="11" ht="33.0" customHeight="1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30" t="s">
        <v>178</v>
      </c>
      <c r="N11" s="85">
        <f>SUMPRODUCT((COLUMN('はじめに入力'!$C$32:$N$32)-COLUMN('はじめに入力'!$C$32)+1&gt;N2)*(COLUMN('はじめに入力'!$C$32:$N$32)-COLUMN('はじめに入力'!$C$32)+1+N5&lt;=12)*'はじめに入力'!$C$32:$N$32)*'はじめに入力'!$E$17*'はじめに入力'!$G$17*N3</f>
      </c>
      <c r="R11" s="85">
        <f t="shared" si="5"/>
      </c>
      <c r="S11" s="27" t="s">
        <v>36</v>
      </c>
      <c r="T11" s="85">
        <f t="shared" si="6"/>
      </c>
      <c r="U11" s="85">
        <f t="shared" si="7"/>
      </c>
      <c r="V11" s="85">
        <f t="shared" si="4"/>
      </c>
    </row>
    <row r="12">
      <c r="A12" s="114" t="s">
        <v>179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0" t="s">
        <v>180</v>
      </c>
      <c r="N12" s="85">
        <f>N8+N10+N11</f>
      </c>
      <c r="R12" s="85">
        <f t="shared" si="5"/>
      </c>
      <c r="S12" s="27" t="s">
        <v>36</v>
      </c>
      <c r="T12" s="85">
        <f t="shared" si="6"/>
      </c>
      <c r="U12" s="85">
        <f t="shared" si="7"/>
      </c>
      <c r="V12" s="85">
        <f t="shared" si="4"/>
      </c>
    </row>
    <row r="13" ht="16.5" customHeight="1">
      <c r="R13" s="85">
        <f t="shared" si="5"/>
      </c>
      <c r="S13" s="27" t="s">
        <v>36</v>
      </c>
      <c r="T13" s="85">
        <f t="shared" si="6"/>
      </c>
      <c r="U13" s="85">
        <f t="shared" si="7"/>
      </c>
      <c r="V13" s="85">
        <f t="shared" si="4"/>
      </c>
    </row>
    <row r="14" ht="16.5" customHeight="1">
      <c r="A14" s="123">
        <f>"今月（"&amp;$J$1&amp;"）の動き　計画比・前月比"</f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30" t="s">
        <v>169</v>
      </c>
      <c r="N14" s="104">
        <f>'はじめに入力'!$B$7</f>
      </c>
      <c r="R14" s="85">
        <f t="shared" ref="R14:R19" si="8">$A32</f>
      </c>
      <c r="S14" s="27" t="s">
        <v>58</v>
      </c>
      <c r="T14" s="85">
        <f>IF($G32="上限超え",IF(ISNUMBER($F32),'はじめに入力'!$I$7/$F32,0),"")</f>
      </c>
      <c r="U14" s="85">
        <f>IF(OR(T14="",T14&gt;=1),"",$A32&amp;"のCPLが許容CPLを超えている（"&amp;IF(ISNUMBER($F32),TEXT($F32,"0.0"),"リードなし")&amp;"／許容"&amp;TEXT('はじめに入力'!$I$7,"0.0")&amp;"）")</f>
      </c>
      <c r="V14" s="85">
        <f t="shared" ref="V14:V19" si="9">IF(T14="","","上限超え")</f>
      </c>
    </row>
    <row r="15" ht="16.5" customHeight="1">
      <c r="A15" s="124" t="s">
        <v>181</v>
      </c>
      <c r="C15" s="125"/>
      <c r="D15" s="124" t="s">
        <v>182</v>
      </c>
      <c r="F15" s="125"/>
      <c r="G15" s="124" t="s">
        <v>183</v>
      </c>
      <c r="I15" s="125"/>
      <c r="J15" s="124" t="s">
        <v>184</v>
      </c>
      <c r="L15" s="125"/>
      <c r="M15" s="30" t="s">
        <v>185</v>
      </c>
      <c r="N15" s="85">
        <f>MAX(0,N14-N12)</f>
      </c>
      <c r="R15" s="85">
        <f t="shared" si="8"/>
      </c>
      <c r="S15" s="27" t="s">
        <v>58</v>
      </c>
      <c r="T15" s="85">
        <f>IF($G33="上限超え",IF(ISNUMBER($F33),'はじめに入力'!$I$7/$F33,0),"")</f>
      </c>
      <c r="U15" s="85">
        <f>IF(OR(T15="",T15&gt;=1),"",$A33&amp;"のCPLが許容CPLを超えている（"&amp;IF(ISNUMBER($F33),TEXT($F33,"0.0"),"リードなし")&amp;"／許容"&amp;TEXT('はじめに入力'!$I$7,"0.0")&amp;"）")</f>
      </c>
      <c r="V15" s="85">
        <f t="shared" si="9"/>
      </c>
    </row>
    <row r="16" ht="26.25" customHeight="1">
      <c r="A16" s="126">
        <f t="array" ref="A16">INDEX('毎月の実績入力'!$C$5:$N$5,$N$2)</f>
      </c>
      <c r="C16" s="125"/>
      <c r="D16" s="126">
        <f t="array" ref="D16">INDEX('毎月の実績入力'!$C$6:$N$6,$N$2)</f>
      </c>
      <c r="F16" s="125"/>
      <c r="G16" s="126">
        <f t="array" ref="G16">INDEX('毎月の実績入力'!$C$7:$N$7,$N$2)</f>
      </c>
      <c r="I16" s="125"/>
      <c r="J16" s="126">
        <f t="array" ref="J16">INDEX('毎月の実績入力'!$C$8:$N$8,$N$2)</f>
      </c>
      <c r="L16" s="125"/>
      <c r="M16" s="30" t="s">
        <v>186</v>
      </c>
      <c r="N16" s="117">
        <f>12-N5</f>
      </c>
      <c r="R16" s="85">
        <f t="shared" si="8"/>
      </c>
      <c r="S16" s="27" t="s">
        <v>58</v>
      </c>
      <c r="T16" s="85">
        <f>IF($G34="上限超え",IF(ISNUMBER($F34),'はじめに入力'!$I$7/$F34,0),"")</f>
      </c>
      <c r="U16" s="85">
        <f>IF(OR(T16="",T16&gt;=1),"",$A34&amp;"のCPLが許容CPLを超えている（"&amp;IF(ISNUMBER($F34),TEXT($F34,"0.0"),"リードなし")&amp;"／許容"&amp;TEXT('はじめに入力'!$I$7,"0.0")&amp;"）")</f>
      </c>
      <c r="V16" s="85">
        <f t="shared" si="9"/>
      </c>
    </row>
    <row r="17" ht="16.5" customHeight="1">
      <c r="A17" s="127">
        <f t="array" ref="A17">"計画比 "&amp;IFERROR(TEXT(A16/INDEX('はじめに入力'!$C$31:$N$31,$N$2),"0%"),"—")&amp;"・前月比 "&amp;IF($N$2&lt;2,"—",IFERROR(TEXT(A16/INDEX('毎月の実績入力'!$C$5:$N$5,$N$2-1)-1,"+0%;-0%;±0%"),"—"))</f>
      </c>
      <c r="C17" s="125"/>
      <c r="D17" s="127">
        <f t="array" ref="D17">"計画比 "&amp;IFERROR(TEXT(D16/INDEX('はじめに入力'!$C$32:$N$32,$N$2),"0%"),"—")&amp;"・前月比 "&amp;IF($N$2&lt;2,"—",IFERROR(TEXT(D16/INDEX('毎月の実績入力'!$C$6:$N$6,$N$2-1)-1,"+0%;-0%;±0%"),"—"))</f>
      </c>
      <c r="F17" s="125"/>
      <c r="G17" s="127">
        <f t="array" ref="G17">"前月比 "&amp;IF($N$2&lt;2,"—",IFERROR(TEXT(G16/INDEX('毎月の実績入力'!$C$7:$N$7,$N$2-1)-1,"+0%;-0%;±0%"),"—"))</f>
      </c>
      <c r="I17" s="125"/>
      <c r="J17" s="127">
        <f t="array" ref="J17">"前月比 "&amp;IF($N$2&lt;2,"—",IFERROR(TEXT(J16/INDEX('毎月の実績入力'!$C$8:$N$8,$N$2-1)-1,"+0%;-0%;±0%"),"—"))</f>
      </c>
      <c r="L17" s="125"/>
      <c r="M17" s="30" t="s">
        <v>187</v>
      </c>
      <c r="N17" s="85">
        <f t="array" ref="N17">IF(N16&lt;1,"",INDEX('毎月の実績入力'!$C$4:$N$4,N16))</f>
      </c>
      <c r="R17" s="85">
        <f t="shared" si="8"/>
      </c>
      <c r="S17" s="27" t="s">
        <v>58</v>
      </c>
      <c r="T17" s="85">
        <f>IF($G35="上限超え",IF(ISNUMBER($F35),'はじめに入力'!$I$7/$F35,0),"")</f>
      </c>
      <c r="U17" s="85">
        <f>IF(OR(T17="",T17&gt;=1),"",$A35&amp;"のCPLが許容CPLを超えている（"&amp;IF(ISNUMBER($F35),TEXT($F35,"0.0"),"リードなし")&amp;"／許容"&amp;TEXT('はじめに入力'!$I$7,"0.0")&amp;"）")</f>
      </c>
      <c r="V17" s="85">
        <f t="shared" si="9"/>
      </c>
    </row>
    <row r="18" ht="16.5" customHeight="1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30" t="s">
        <v>188</v>
      </c>
      <c r="N18" s="85">
        <f>IFERROR(ROUNDUP(N15/(N3*'はじめに入力'!$G$17),0),"")</f>
      </c>
      <c r="R18" s="85">
        <f t="shared" si="8"/>
      </c>
      <c r="S18" s="27" t="s">
        <v>58</v>
      </c>
      <c r="T18" s="85">
        <f>IF($G36="上限超え",IF(ISNUMBER($F36),'はじめに入力'!$I$7/$F36,0),"")</f>
      </c>
      <c r="U18" s="85">
        <f>IF(OR(T18="",T18&gt;=1),"",$A36&amp;"のCPLが許容CPLを超えている（"&amp;IF(ISNUMBER($F36),TEXT($F36,"0.0"),"リードなし")&amp;"／許容"&amp;TEXT('はじめに入力'!$I$7,"0.0")&amp;"）")</f>
      </c>
      <c r="V18" s="85">
        <f t="shared" si="9"/>
      </c>
    </row>
    <row r="19" ht="16.5" customHeight="1">
      <c r="A19" s="123">
        <f t="array" ref="A19">"期首からの累計（"&amp;INDEX('毎月の実績入力'!$C$4:$N$4,1)&amp;"〜"&amp;$J$1&amp;"）　棒＝計画に対する達成率（右端が100%）"</f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30" t="s">
        <v>189</v>
      </c>
      <c r="N19" s="85">
        <f>IFERROR(ROUNDUP(N18/'はじめに入力'!$E$17/'はじめに入力'!$C$17,0),"")</f>
      </c>
      <c r="R19" s="85">
        <f t="shared" si="8"/>
      </c>
      <c r="S19" s="27" t="s">
        <v>58</v>
      </c>
      <c r="T19" s="85">
        <f>IF($G37="上限超え",IF(ISNUMBER($F37),'はじめに入力'!$I$7/$F37,0),"")</f>
      </c>
      <c r="U19" s="85">
        <f>IF(OR(T19="",T19&gt;=1),"",$A37&amp;"のCPLが許容CPLを超えている（"&amp;IF(ISNUMBER($F37),TEXT($F37,"0.0"),"リードなし")&amp;"／許容"&amp;TEXT('はじめに入力'!$I$7,"0.0")&amp;"）")</f>
      </c>
      <c r="V19" s="85">
        <f t="shared" si="9"/>
      </c>
    </row>
    <row r="20" ht="16.5" customHeight="1">
      <c r="A20" s="129" t="s">
        <v>190</v>
      </c>
      <c r="B20" s="130" t="s">
        <v>160</v>
      </c>
      <c r="C20" s="82"/>
      <c r="D20" s="131" t="s">
        <v>44</v>
      </c>
      <c r="E20" s="132"/>
      <c r="F20" s="133"/>
      <c r="G20" s="133"/>
      <c r="H20" s="133"/>
      <c r="I20" s="82"/>
      <c r="J20" s="130" t="s">
        <v>159</v>
      </c>
      <c r="K20" s="82"/>
      <c r="L20" s="134"/>
      <c r="M20" s="30" t="s">
        <v>191</v>
      </c>
      <c r="N20" s="85">
        <f>N2-1</f>
      </c>
      <c r="R20" s="27" t="s">
        <v>77</v>
      </c>
      <c r="S20" s="27" t="s">
        <v>38</v>
      </c>
      <c r="T20" s="85">
        <f>IF(ISNUMBER($B$22),IFERROR($B$22/$J$22,""),"")</f>
      </c>
      <c r="U20" s="85">
        <f>IF(OR(T20="",T20&gt;=1),"","商談化率が計画を下回っている（"&amp;TEXT($B$22,"0%")&amp;"／計画"&amp;TEXT($J$22,"0%")&amp;"）")</f>
      </c>
      <c r="V20" s="85">
        <f t="shared" ref="V20:V21" si="10">IF(T20="","",IF(T20&gt;=1,"達成",IF(T20&gt;=0.9,"やや届かない","届かない")))</f>
      </c>
    </row>
    <row r="21" ht="16.5" customHeight="1">
      <c r="A21" s="135" t="s">
        <v>34</v>
      </c>
      <c r="B21" s="136">
        <f>SUM(OFFSET('毎月の実績入力'!$C$5,0,0,1,$N$2))</f>
      </c>
      <c r="C21" s="133"/>
      <c r="D21" s="137">
        <f t="shared" ref="D21:D24" si="11">IFERROR(B21/J21,"—")</f>
      </c>
      <c r="E21" s="138">
        <f>IFERROR(__xludf.DUMMYFUNCTION("IF(ISNUMBER(D21),SPARKLINE({MIN(D21,1),1-MIN(D21,1)},{""charttype"",""bar"";""max"",1;""color1"",IF(D21&lt;0.9,""#c62828"",IF(D21&lt;1,""#e08a00"",""#9e9e9e""));""color2"",""#e8e8e8""}),"""")"),"")</f>
      </c>
      <c r="F21" s="133"/>
      <c r="G21" s="133"/>
      <c r="H21" s="133"/>
      <c r="I21" s="133"/>
      <c r="J21" s="139">
        <f>SUM(OFFSET('はじめに入力'!$C$31,0,0,1,$N$2))</f>
      </c>
      <c r="K21" s="133"/>
      <c r="L21" s="112"/>
      <c r="M21" s="30" t="s">
        <v>192</v>
      </c>
      <c r="N21" s="85">
        <f t="array" ref="N21">IF(N2&gt;=12,"",INDEX('毎月の実績入力'!$C$4:$N$4,N2+1))</f>
      </c>
      <c r="R21" s="27" t="s">
        <v>77</v>
      </c>
      <c r="S21" s="27" t="s">
        <v>40</v>
      </c>
      <c r="T21" s="85">
        <f>IF($N$2&lt;=$N$4,"",IF(ISNUMBER($B$24),IFERROR($B$24/$J$24,""),""))</f>
      </c>
      <c r="U21" s="85">
        <f>IF(OR(T21="",T21&gt;=1),"","受注率が計画を下回っている（"&amp;TEXT($B$24,"0%")&amp;"／計画"&amp;TEXT($J$24,"0%")&amp;"）")</f>
      </c>
      <c r="V21" s="85">
        <f t="shared" si="10"/>
      </c>
    </row>
    <row r="22" ht="16.5" customHeight="1">
      <c r="A22" s="135" t="s">
        <v>36</v>
      </c>
      <c r="B22" s="141">
        <f>IFERROR(B23/B21,"—")</f>
      </c>
      <c r="C22" s="133"/>
      <c r="D22" s="137">
        <f t="shared" si="11"/>
      </c>
      <c r="E22" s="142">
        <f>IFERROR(__xludf.DUMMYFUNCTION("IF(ISNUMBER(D22),SPARKLINE({MIN(D22,1),1-MIN(D22,1)},{""charttype"",""bar"";""max"",1;""color1"",IF(D22&lt;0.9,""#c62828"",IF(D22&lt;1,""#e08a00"",""#9e9e9e""));""color2"",""#e8e8e8""}),"""")"),"")</f>
      </c>
      <c r="F22" s="133"/>
      <c r="G22" s="133"/>
      <c r="H22" s="133"/>
      <c r="I22" s="133"/>
      <c r="J22" s="143">
        <f>IFERROR(J23/J21,"—")</f>
      </c>
      <c r="K22" s="133"/>
      <c r="L22" s="112"/>
    </row>
    <row r="23" ht="16.5" customHeight="1">
      <c r="A23" s="135" t="s">
        <v>37</v>
      </c>
      <c r="B23" s="136">
        <f>SUM(OFFSET('毎月の実績入力'!$C$6,0,0,1,$N$2))</f>
      </c>
      <c r="C23" s="133"/>
      <c r="D23" s="137">
        <f t="shared" si="11"/>
      </c>
      <c r="E23" s="138">
        <f>IFERROR(__xludf.DUMMYFUNCTION("IF(ISNUMBER(D23),SPARKLINE({MIN(D23,1),1-MIN(D23,1)},{""charttype"",""bar"";""max"",1;""color1"",IF(D23&lt;0.9,""#c62828"",IF(D23&lt;1,""#e08a00"",""#9e9e9e""));""color2"",""#e8e8e8""}),"""")"),"")</f>
      </c>
      <c r="F23" s="133"/>
      <c r="G23" s="133"/>
      <c r="H23" s="133"/>
      <c r="I23" s="133"/>
      <c r="J23" s="139">
        <f>SUM(OFFSET('はじめに入力'!$C$32,0,0,1,$N$2))</f>
      </c>
      <c r="K23" s="133"/>
      <c r="L23" s="112"/>
      <c r="M23" s="30" t="s">
        <v>193</v>
      </c>
      <c r="N23" s="30" t="s">
        <v>194</v>
      </c>
      <c r="O23" s="30" t="s">
        <v>180</v>
      </c>
      <c r="P23" s="30" t="s">
        <v>169</v>
      </c>
      <c r="Q23" s="30"/>
      <c r="R23" s="30" t="s">
        <v>195</v>
      </c>
      <c r="S23" s="30"/>
      <c r="T23" s="30"/>
      <c r="U23" s="30"/>
      <c r="V23" s="30"/>
    </row>
    <row r="24" ht="16.5" customHeight="1">
      <c r="A24" s="135" t="s">
        <v>38</v>
      </c>
      <c r="B24" s="141">
        <f>IFERROR(B25/B23,"—")</f>
      </c>
      <c r="C24" s="133"/>
      <c r="D24" s="137">
        <f t="shared" si="11"/>
      </c>
      <c r="E24" s="142">
        <f>IFERROR(__xludf.DUMMYFUNCTION("IF(ISNUMBER(D24),SPARKLINE({MIN(D24,1),1-MIN(D24,1)},{""charttype"",""bar"";""max"",1;""color1"",IF(D24&lt;0.9,""#c62828"",IF(D24&lt;1,""#e08a00"",""#9e9e9e""));""color2"",""#e8e8e8""}),"""")"),"")</f>
      </c>
      <c r="F24" s="133"/>
      <c r="G24" s="133"/>
      <c r="H24" s="133"/>
      <c r="I24" s="133"/>
      <c r="J24" s="143">
        <f>'はじめに入力'!$E$17</f>
      </c>
      <c r="K24" s="133"/>
      <c r="L24" s="112"/>
      <c r="M24" s="85">
        <f t="array" ref="M24">INDEX('毎月の実績入力'!$C$4:$N$4,1)</f>
      </c>
      <c r="N24" s="104">
        <f>IF(1&lt;=$N$2,SUM(OFFSET('毎月の実績入力'!$C$8,0,0,1,1)),NA())</f>
      </c>
      <c r="O24" s="85">
        <f>IF(1&lt;$N$2,NA(),IF($N$2&gt;=12,$N$7,($N$8+($N$12-$N$8)*(1-$N$2)/(12-$N$2))/$N$3))</f>
      </c>
      <c r="P24" s="104">
        <f>'はじめに入力'!$H$17</f>
      </c>
      <c r="R24" s="85">
        <f>IFERROR(__xludf.DUMMYFUNCTION("IFERROR(SORTN(FILTER(R2:V21,ISNUMBER(T2:T21),T2:T21&lt;1),3,0,3,TRUE),"""")"),"メール")</f>
      </c>
      <c r="S24" s="85">
        <f>IFERROR(__xludf.DUMMYFUNCTION("""COMPUTED_VALUE"""),"CPL")</f>
      </c>
      <c r="T24" s="85">
        <f>IFERROR(__xludf.DUMMYFUNCTION("""COMPUTED_VALUE"""),0.5071754573903197)</f>
      </c>
      <c r="U24" s="85">
        <f>IFERROR(__xludf.DUMMYFUNCTION("""COMPUTED_VALUE"""),"メールのCPLが許容CPLを超えている（13.2／許容6.7）")</f>
      </c>
      <c r="V24" s="85">
        <f>IFERROR(__xludf.DUMMYFUNCTION("""COMPUTED_VALUE"""),"上限超え")</f>
      </c>
    </row>
    <row r="25" ht="16.5" customHeight="1">
      <c r="A25" s="135" t="s">
        <v>39</v>
      </c>
      <c r="B25" s="136">
        <f>$N$6</f>
      </c>
      <c r="C25" s="133"/>
      <c r="D25" s="137">
        <f>IFERROR("進捗"&amp;TEXT(B25/'はじめに入力'!$F$17,"0%"),"—")</f>
      </c>
      <c r="E25" s="138">
        <f>IFERROR(__xludf.DUMMYFUNCTION("IFERROR(SPARKLINE({MIN(B25/'はじめに入力'!$F$17,1),1-MIN(B25/'はじめに入力'!$F$17,1)},{""charttype"",""bar"";""max"",1;""color1"",""#9e9e9e"";""color2"",""#e8e8e8""}),"""")"),"")</f>
      </c>
      <c r="F25" s="133"/>
      <c r="G25" s="133"/>
      <c r="H25" s="133"/>
      <c r="I25" s="133"/>
      <c r="J25" s="139">
        <f>"年"&amp;TEXT('はじめに入力'!$F$17,"#,##0")</f>
      </c>
      <c r="K25" s="133"/>
      <c r="L25" s="112"/>
      <c r="M25" s="85">
        <f t="array" ref="M25">INDEX('毎月の実績入力'!$C$4:$N$4,2)</f>
      </c>
      <c r="N25" s="104">
        <f>IF(2&lt;=$N$2,SUM(OFFSET('毎月の実績入力'!$C$8,0,0,1,2)),NA())</f>
      </c>
      <c r="O25" s="85">
        <f>IF(2&lt;$N$2,NA(),IF($N$2&gt;=12,$N$7,($N$8+($N$12-$N$8)*(2-$N$2)/(12-$N$2))/$N$3))</f>
      </c>
      <c r="P25" s="104">
        <f>'はじめに入力'!$H$17</f>
      </c>
      <c r="R25" s="85">
        <f>IFERROR(__xludf.DUMMYFUNCTION("""COMPUTED_VALUE"""),"Web広告")</f>
      </c>
      <c r="S25" s="85">
        <f>IFERROR(__xludf.DUMMYFUNCTION("""COMPUTED_VALUE"""),"有効リード率")</f>
      </c>
      <c r="T25" s="85">
        <f>IFERROR(__xludf.DUMMYFUNCTION("""COMPUTED_VALUE"""),0.6577480490523969)</f>
      </c>
      <c r="U25" s="85">
        <f>IFERROR(__xludf.DUMMYFUNCTION("""COMPUTED_VALUE"""),"Web広告の有効リード率が計画を下回っている（達成率66%）")</f>
      </c>
      <c r="V25" s="85">
        <f>IFERROR(__xludf.DUMMYFUNCTION("""COMPUTED_VALUE"""),"届かない")</f>
      </c>
    </row>
    <row r="26" ht="16.5" customHeight="1">
      <c r="A26" s="135" t="s">
        <v>40</v>
      </c>
      <c r="B26" s="141">
        <f>IFERROR(B27/B25,"—")</f>
      </c>
      <c r="C26" s="133"/>
      <c r="D26" s="137">
        <f>IF($N$2&lt;=$N$5,"判定前",IFERROR(B26/J26,"—"))</f>
      </c>
      <c r="E26" s="142">
        <f>IFERROR(__xludf.DUMMYFUNCTION("IF(ISNUMBER(D26),SPARKLINE({MIN(D26,1),1-MIN(D26,1)},{""charttype"",""bar"";""max"",1;""color1"",IF(D26&lt;0.9,""#c62828"",IF(D26&lt;1,""#e08a00"",""#9e9e9e""));""color2"",""#e8e8e8""}),"""")"),"")</f>
      </c>
      <c r="F26" s="133"/>
      <c r="G26" s="133"/>
      <c r="H26" s="133"/>
      <c r="I26" s="133"/>
      <c r="J26" s="143">
        <f>'はじめに入力'!$G$17</f>
      </c>
      <c r="K26" s="133"/>
      <c r="L26" s="112"/>
      <c r="M26" s="85">
        <f t="array" ref="M26">INDEX('毎月の実績入力'!$C$4:$N$4,3)</f>
      </c>
      <c r="N26" s="104">
        <f>IF(3&lt;=$N$2,SUM(OFFSET('毎月の実績入力'!$C$8,0,0,1,3)),NA())</f>
      </c>
      <c r="O26" s="85">
        <f>IF(3&lt;$N$2,NA(),IF($N$2&gt;=12,$N$7,($N$8+($N$12-$N$8)*(3-$N$2)/(12-$N$2))/$N$3))</f>
      </c>
      <c r="P26" s="104">
        <f>'はじめに入力'!$H$17</f>
      </c>
      <c r="R26" s="85">
        <f>IFERROR(__xludf.DUMMYFUNCTION("""COMPUTED_VALUE"""),"メール")</f>
      </c>
      <c r="S26" s="85">
        <f>IFERROR(__xludf.DUMMYFUNCTION("""COMPUTED_VALUE"""),"リード数")</f>
      </c>
      <c r="T26" s="85">
        <f>IFERROR(__xludf.DUMMYFUNCTION("""COMPUTED_VALUE"""),0.8181818181818182)</f>
      </c>
      <c r="U26" s="85">
        <f>IFERROR(__xludf.DUMMYFUNCTION("""COMPUTED_VALUE"""),"メールのリード数が計画を下回っている（達成率82%）")</f>
      </c>
      <c r="V26" s="85">
        <f>IFERROR(__xludf.DUMMYFUNCTION("""COMPUTED_VALUE"""),"届かない")</f>
      </c>
    </row>
    <row r="27" ht="16.5" customHeight="1">
      <c r="A27" s="135" t="s">
        <v>41</v>
      </c>
      <c r="B27" s="136">
        <f>$N$7</f>
      </c>
      <c r="C27" s="133"/>
      <c r="D27" s="137">
        <f>IFERROR("進捗"&amp;TEXT(B27/'はじめに入力'!$H$17,"0%"),"—")</f>
      </c>
      <c r="E27" s="138">
        <f>IFERROR(__xludf.DUMMYFUNCTION("IFERROR(SPARKLINE({MIN(B27/'はじめに入力'!$H$17,1),1-MIN(B27/'はじめに入力'!$H$17,1)},{""charttype"",""bar"";""max"",1;""color1"",""#9e9e9e"";""color2"",""#e8e8e8""}),"""")"),"")</f>
      </c>
      <c r="F27" s="133"/>
      <c r="G27" s="133"/>
      <c r="H27" s="133"/>
      <c r="I27" s="133"/>
      <c r="J27" s="139">
        <f>"年"&amp;TEXT('はじめに入力'!$H$17,"#,##0")</f>
      </c>
      <c r="K27" s="133"/>
      <c r="L27" s="112"/>
      <c r="M27" s="85">
        <f t="array" ref="M27">INDEX('毎月の実績入力'!$C$4:$N$4,4)</f>
      </c>
      <c r="N27" s="104">
        <f>IF(4&lt;=$N$2,SUM(OFFSET('毎月の実績入力'!$C$8,0,0,1,4)),NA())</f>
      </c>
      <c r="O27" s="85">
        <f>IF(4&lt;$N$2,NA(),IF($N$2&gt;=12,$N$7,($N$8+($N$12-$N$8)*(4-$N$2)/(12-$N$2))/$N$3))</f>
      </c>
      <c r="P27" s="104">
        <f>'はじめに入力'!$H$17</f>
      </c>
    </row>
    <row r="28" ht="16.5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85">
        <f t="array" ref="M28">INDEX('毎月の実績入力'!$C$4:$N$4,5)</f>
      </c>
      <c r="N28" s="104">
        <f>IF(5&lt;=$N$2,SUM(OFFSET('毎月の実績入力'!$C$8,0,0,1,5)),NA())</f>
      </c>
      <c r="O28" s="85">
        <f>IF(5&lt;$N$2,NA(),IF($N$2&gt;=12,$N$7,($N$8+($N$12-$N$8)*(5-$N$2)/(12-$N$2))/$N$3))</f>
      </c>
      <c r="P28" s="104">
        <f>'はじめに入力'!$H$17</f>
      </c>
    </row>
    <row r="29">
      <c r="A29" s="114">
        <f t="array" ref="A29">"3. チャネル別（"&amp;INDEX('毎月の実績入力'!$C$4:$N$4,1)&amp;"〜"&amp;$J$1&amp;"）"</f>
      </c>
      <c r="B29" s="144" t="s">
        <v>118</v>
      </c>
      <c r="C29" s="144" t="s">
        <v>118</v>
      </c>
      <c r="D29" s="144" t="s">
        <v>118</v>
      </c>
      <c r="E29" s="144" t="s">
        <v>118</v>
      </c>
      <c r="F29" s="144" t="s">
        <v>118</v>
      </c>
      <c r="G29" s="144" t="s">
        <v>118</v>
      </c>
      <c r="H29" s="144" t="s">
        <v>118</v>
      </c>
      <c r="I29" s="115"/>
      <c r="J29" s="115"/>
      <c r="K29" s="115"/>
      <c r="L29" s="115"/>
      <c r="M29" s="85">
        <f t="array" ref="M29">INDEX('毎月の実績入力'!$C$4:$N$4,6)</f>
      </c>
      <c r="N29" s="104">
        <f>IF(6&lt;=$N$2,SUM(OFFSET('毎月の実績入力'!$C$8,0,0,1,6)),NA())</f>
      </c>
      <c r="O29" s="85">
        <f>IF(6&lt;$N$2,NA(),IF($N$2&gt;=12,$N$7,($N$8+($N$12-$N$8)*(6-$N$2)/(12-$N$2))/$N$3))</f>
      </c>
      <c r="P29" s="104">
        <f>'はじめに入力'!$H$17</f>
      </c>
    </row>
    <row r="30" ht="16.5" customHeight="1">
      <c r="A30" s="27" t="s">
        <v>118</v>
      </c>
      <c r="B30" s="27" t="s">
        <v>118</v>
      </c>
      <c r="C30" s="27" t="s">
        <v>118</v>
      </c>
      <c r="D30" s="27" t="s">
        <v>118</v>
      </c>
      <c r="E30" s="27" t="s">
        <v>118</v>
      </c>
      <c r="F30" s="27" t="s">
        <v>118</v>
      </c>
      <c r="G30" s="27" t="s">
        <v>118</v>
      </c>
      <c r="H30" s="27" t="s">
        <v>118</v>
      </c>
    </row>
    <row r="31" ht="16.5" customHeight="1">
      <c r="A31" s="145" t="s">
        <v>13</v>
      </c>
      <c r="B31" s="145" t="s">
        <v>34</v>
      </c>
      <c r="C31" s="145" t="s">
        <v>44</v>
      </c>
      <c r="D31" s="145" t="s">
        <v>37</v>
      </c>
      <c r="E31" s="145" t="s">
        <v>44</v>
      </c>
      <c r="F31" s="145" t="s">
        <v>58</v>
      </c>
      <c r="G31" s="145" t="s">
        <v>45</v>
      </c>
      <c r="H31" s="145" t="s">
        <v>163</v>
      </c>
      <c r="I31" s="112"/>
      <c r="J31" s="112"/>
      <c r="K31" s="112"/>
      <c r="L31" s="112"/>
      <c r="M31" s="85">
        <f t="array" ref="M31">INDEX('毎月の実績入力'!$C$4:$N$4,7)</f>
      </c>
      <c r="N31" s="104">
        <f>IF(7&lt;=$N$2,SUM(OFFSET('毎月の実績入力'!$C$8,0,0,1,7)),NA())</f>
      </c>
      <c r="O31" s="85">
        <f>IF(7&lt;$N$2,NA(),IF($N$2&gt;=12,$N$7,($N$8+($N$12-$N$8)*(7-$N$2)/(12-$N$2))/$N$3))</f>
      </c>
      <c r="P31" s="104">
        <f>'はじめに入力'!$H$17</f>
      </c>
    </row>
    <row r="32" ht="16.5" customHeight="1">
      <c r="A32" s="146" t="s">
        <v>60</v>
      </c>
      <c r="B32" s="147">
        <f t="array" ref="B32">IFERROR(LET(s,IFERROR(MATCH(TRUE,INDEX('はじめに入力'!$C$38:$N$38&gt;0,0),0),""),c,IF(OR($N$2="",s="",$N$2&lt;s),"",IF(INDEX('毎月の実績入力'!$C$16:$N$16,$N$2)="","",SUM(OFFSET('毎月の実績入力'!$C$20,0,s-1,1,$N$2-s+1))+SUM(OFFSET('はじめに入力'!$C$41,0,s-1,1,$N$2-s+1)))),IF(c="","",SUM(OFFSET('毎月の実績入力'!$C$16,0,s-1,1,$N$2-s+1)))),"")</f>
      </c>
      <c r="C32" s="148">
        <f t="array" ref="C32">IFERROR(IF(B32="","",LET(s,IFERROR(MATCH(TRUE,INDEX('はじめに入力'!$C$38:$N$38&gt;0,0),0),""),IFERROR(B32/SUM(OFFSET('はじめに入力'!$C$38,0,s-1,1,$N$2-s+1)),""))),"")</f>
      </c>
      <c r="D32" s="147">
        <f t="array" ref="D32">IFERROR(LET(s,IFERROR(MATCH(TRUE,INDEX('はじめに入力'!$C$38:$N$38&gt;0,0),0),""),c,IF(OR($N$2="",s="",$N$2&lt;s),"",IF(INDEX('毎月の実績入力'!$C$16:$N$16,$N$2)="","",SUM(OFFSET('毎月の実績入力'!$C$20,0,s-1,1,$N$2-s+1))+SUM(OFFSET('はじめに入力'!$C$41,0,s-1,1,$N$2-s+1)))),IF(c="","",SUM(OFFSET('毎月の実績入力'!$C$17,0,s-1,1,$N$2-s+1)))),"")</f>
      </c>
      <c r="E32" s="148">
        <f t="array" ref="E32">IFERROR(IF(D32="","",LET(s,IFERROR(MATCH(TRUE,INDEX('はじめに入力'!$C$38:$N$38&gt;0,0),0),""),IFERROR(D32/SUM(OFFSET('はじめに入力'!$C$39,0,s-1,1,$N$2-s+1)),""))),"")</f>
      </c>
      <c r="F32" s="149">
        <f t="array" ref="F32">IFERROR(LET(s,IFERROR(MATCH(TRUE,INDEX('はじめに入力'!$C$38:$N$38&gt;0,0),0),""),c,IF(OR($N$2="",s="",$N$2&lt;s),"",IF(INDEX('毎月の実績入力'!$C$16:$N$16,$N$2)="","",SUM(OFFSET('毎月の実績入力'!$C$20,0,s-1,1,$N$2-s+1))+SUM(OFFSET('はじめに入力'!$C$41,0,s-1,1,$N$2-s+1)))),IF(c="","",IFERROR(c/B32,"―"))),"")</f>
      </c>
      <c r="G32" s="150">
        <f t="array" ref="G32">IFERROR(IF(F32="","",LET(s,IFERROR(MATCH(TRUE,INDEX('はじめに入力'!$C$38:$N$38&gt;0,0),0),""),IF(SUM(OFFSET('毎月の実績入力'!$C$20,0,s-1,1,$N$2-s+1))=0,"費用なし",IF(OR(F32="―",F32&gt;'はじめに入力'!$I$7),"上限超え","上限内")))),"")</f>
      </c>
      <c r="H32" s="150">
        <f t="array" ref="H32">IFERROR(IF(G32="","",LET(s,IFERROR(MATCH(TRUE,INDEX('はじめに入力'!$C$38:$N$38&gt;0,0),0),""),IF($N$2&lt;s+6,"判定前",IF(G32="費用なし","判定しない",IF(AND(G32="上限超え",C32&lt;0.9),"撤退を検討","なし"))))),"")</f>
      </c>
      <c r="I32" s="112"/>
      <c r="J32" s="112"/>
      <c r="K32" s="112"/>
      <c r="L32" s="112"/>
      <c r="M32" s="85">
        <f t="array" ref="M32">INDEX('毎月の実績入力'!$C$4:$N$4,8)</f>
      </c>
      <c r="N32" s="85">
        <f>IF(8&lt;=$N$2,SUM(OFFSET('毎月の実績入力'!$C$8,0,0,1,8)),NA())</f>
      </c>
      <c r="O32" s="85">
        <f>IF(8&lt;$N$2,NA(),IF($N$2&gt;=12,$N$7,($N$8+($N$12-$N$8)*(8-$N$2)/(12-$N$2))/$N$3))</f>
      </c>
      <c r="P32" s="104">
        <f>'はじめに入力'!$H$17</f>
      </c>
    </row>
    <row r="33" ht="16.5" customHeight="1">
      <c r="A33" s="146" t="s">
        <v>87</v>
      </c>
      <c r="B33" s="147">
        <f t="array" ref="B33">IFERROR(LET(s,IFERROR(MATCH(TRUE,INDEX('はじめに入力'!$C$44:$N$44&gt;0,0),0),""),c,IF(OR($N$2="",s="",$N$2&lt;s),"",IF(INDEX('毎月の実績入力'!$C$24:$N$24,$N$2)="","",SUM(OFFSET('毎月の実績入力'!$C$28,0,s-1,1,$N$2-s+1))+SUM(OFFSET('はじめに入力'!$C$47,0,s-1,1,$N$2-s+1)))),IF(c="","",SUM(OFFSET('毎月の実績入力'!$C$24,0,s-1,1,$N$2-s+1)))),"")</f>
      </c>
      <c r="C33" s="148">
        <f t="array" ref="C33">IFERROR(IF(B33="","",LET(s,IFERROR(MATCH(TRUE,INDEX('はじめに入力'!$C$44:$N$44&gt;0,0),0),""),IFERROR(B33/SUM(OFFSET('はじめに入力'!$C$44,0,s-1,1,$N$2-s+1)),""))),"")</f>
      </c>
      <c r="D33" s="147">
        <f t="array" ref="D33">IFERROR(LET(s,IFERROR(MATCH(TRUE,INDEX('はじめに入力'!$C$44:$N$44&gt;0,0),0),""),c,IF(OR($N$2="",s="",$N$2&lt;s),"",IF(INDEX('毎月の実績入力'!$C$24:$N$24,$N$2)="","",SUM(OFFSET('毎月の実績入力'!$C$28,0,s-1,1,$N$2-s+1))+SUM(OFFSET('はじめに入力'!$C$47,0,s-1,1,$N$2-s+1)))),IF(c="","",SUM(OFFSET('毎月の実績入力'!$C$25,0,s-1,1,$N$2-s+1)))),"")</f>
      </c>
      <c r="E33" s="148">
        <f t="array" ref="E33">IFERROR(IF(D33="","",LET(s,IFERROR(MATCH(TRUE,INDEX('はじめに入力'!$C$44:$N$44&gt;0,0),0),""),IFERROR(D33/SUM(OFFSET('はじめに入力'!$C$45,0,s-1,1,$N$2-s+1)),""))),"")</f>
      </c>
      <c r="F33" s="149">
        <f t="array" ref="F33">IFERROR(LET(s,IFERROR(MATCH(TRUE,INDEX('はじめに入力'!$C$44:$N$44&gt;0,0),0),""),c,IF(OR($N$2="",s="",$N$2&lt;s),"",IF(INDEX('毎月の実績入力'!$C$24:$N$24,$N$2)="","",SUM(OFFSET('毎月の実績入力'!$C$28,0,s-1,1,$N$2-s+1))+SUM(OFFSET('はじめに入力'!$C$47,0,s-1,1,$N$2-s+1)))),IF(c="","",IFERROR(c/B33,"―"))),"")</f>
      </c>
      <c r="G33" s="150">
        <f t="array" ref="G33">IFERROR(IF(F33="","",LET(s,IFERROR(MATCH(TRUE,INDEX('はじめに入力'!$C$44:$N$44&gt;0,0),0),""),IF(SUM(OFFSET('毎月の実績入力'!$C$28,0,s-1,1,$N$2-s+1))=0,"費用なし",IF(OR(F33="―",F33&gt;'はじめに入力'!$I$7),"上限超え","上限内")))),"")</f>
      </c>
      <c r="H33" s="150">
        <f t="array" ref="H33">IFERROR(IF(G33="","",LET(s,IFERROR(MATCH(TRUE,INDEX('はじめに入力'!$C$44:$N$44&gt;0,0),0),""),IF($N$2&lt;s+6,"判定前",IF(G33="費用なし","判定しない",IF(AND(G33="上限超え",C33&lt;0.9),"撤退を検討","なし"))))),"")</f>
      </c>
      <c r="I33" s="112"/>
      <c r="J33" s="112"/>
      <c r="K33" s="112"/>
      <c r="L33" s="112"/>
      <c r="M33" s="85">
        <f t="array" ref="M33">INDEX('毎月の実績入力'!$C$4:$N$4,9)</f>
      </c>
      <c r="N33" s="85">
        <f>IF(9&lt;=$N$2,SUM(OFFSET('毎月の実績入力'!$C$8,0,0,1,9)),NA())</f>
      </c>
      <c r="O33" s="85">
        <f>IF(9&lt;$N$2,NA(),IF($N$2&gt;=12,$N$7,($N$8+($N$12-$N$8)*(9-$N$2)/(12-$N$2))/$N$3))</f>
      </c>
      <c r="P33" s="104">
        <f>'はじめに入力'!$H$17</f>
      </c>
    </row>
    <row r="34" ht="16.5" customHeight="1">
      <c r="A34" s="146" t="s">
        <v>66</v>
      </c>
      <c r="B34" s="147">
        <f t="array" ref="B34">IFERROR(LET(s,IFERROR(MATCH(TRUE,INDEX('はじめに入力'!$C$50:$N$50&gt;0,0),0),""),c,IF(OR($N$2="",s="",$N$2&lt;s),"",IF(INDEX('毎月の実績入力'!$C$32:$N$32,$N$2)="","",SUM(OFFSET('毎月の実績入力'!$C$36,0,s-1,1,$N$2-s+1))+SUM(OFFSET('はじめに入力'!$C$53,0,s-1,1,$N$2-s+1)))),IF(c="","",SUM(OFFSET('毎月の実績入力'!$C$32,0,s-1,1,$N$2-s+1)))),"")</f>
      </c>
      <c r="C34" s="148">
        <f t="array" ref="C34">IFERROR(IF(B34="","",LET(s,IFERROR(MATCH(TRUE,INDEX('はじめに入力'!$C$50:$N$50&gt;0,0),0),""),IFERROR(B34/SUM(OFFSET('はじめに入力'!$C$50,0,s-1,1,$N$2-s+1)),""))),"")</f>
      </c>
      <c r="D34" s="147">
        <f t="array" ref="D34">IFERROR(LET(s,IFERROR(MATCH(TRUE,INDEX('はじめに入力'!$C$50:$N$50&gt;0,0),0),""),c,IF(OR($N$2="",s="",$N$2&lt;s),"",IF(INDEX('毎月の実績入力'!$C$32:$N$32,$N$2)="","",SUM(OFFSET('毎月の実績入力'!$C$36,0,s-1,1,$N$2-s+1))+SUM(OFFSET('はじめに入力'!$C$53,0,s-1,1,$N$2-s+1)))),IF(c="","",SUM(OFFSET('毎月の実績入力'!$C$33,0,s-1,1,$N$2-s+1)))),"")</f>
      </c>
      <c r="E34" s="148">
        <f t="array" ref="E34">IFERROR(IF(D34="","",LET(s,IFERROR(MATCH(TRUE,INDEX('はじめに入力'!$C$50:$N$50&gt;0,0),0),""),IFERROR(D34/SUM(OFFSET('はじめに入力'!$C$51,0,s-1,1,$N$2-s+1)),""))),"")</f>
      </c>
      <c r="F34" s="149">
        <f t="array" ref="F34">IFERROR(LET(s,IFERROR(MATCH(TRUE,INDEX('はじめに入力'!$C$50:$N$50&gt;0,0),0),""),c,IF(OR($N$2="",s="",$N$2&lt;s),"",IF(INDEX('毎月の実績入力'!$C$32:$N$32,$N$2)="","",SUM(OFFSET('毎月の実績入力'!$C$36,0,s-1,1,$N$2-s+1))+SUM(OFFSET('はじめに入力'!$C$53,0,s-1,1,$N$2-s+1)))),IF(c="","",IFERROR(c/B34,"―"))),"")</f>
      </c>
      <c r="G34" s="150">
        <f t="array" ref="G34">IFERROR(IF(F34="","",LET(s,IFERROR(MATCH(TRUE,INDEX('はじめに入力'!$C$50:$N$50&gt;0,0),0),""),IF(SUM(OFFSET('毎月の実績入力'!$C$36,0,s-1,1,$N$2-s+1))=0,"費用なし",IF(OR(F34="―",F34&gt;'はじめに入力'!$I$7),"上限超え","上限内")))),"")</f>
      </c>
      <c r="H34" s="150">
        <f t="array" ref="H34">IFERROR(IF(G34="","",LET(s,IFERROR(MATCH(TRUE,INDEX('はじめに入力'!$C$50:$N$50&gt;0,0),0),""),IF($N$2&lt;s+6,"判定前",IF(G34="費用なし","判定しない",IF(AND(G34="上限超え",C34&lt;0.9),"撤退を検討","なし"))))),"")</f>
      </c>
      <c r="I34" s="112"/>
      <c r="J34" s="112"/>
      <c r="K34" s="112"/>
      <c r="L34" s="112"/>
      <c r="M34" s="85">
        <f t="array" ref="M34">INDEX('毎月の実績入力'!$C$4:$N$4,10)</f>
      </c>
      <c r="N34" s="85">
        <f>IF(10&lt;=$N$2,SUM(OFFSET('毎月の実績入力'!$C$8,0,0,1,10)),NA())</f>
      </c>
      <c r="O34" s="85">
        <f>IF(10&lt;$N$2,NA(),IF($N$2&gt;=12,$N$7,($N$8+($N$12-$N$8)*(10-$N$2)/(12-$N$2))/$N$3))</f>
      </c>
      <c r="P34" s="104">
        <f>'はじめに入力'!$H$17</f>
      </c>
    </row>
    <row r="35" ht="16.5" customHeight="1">
      <c r="A35" s="146" t="s">
        <v>46</v>
      </c>
      <c r="B35" s="147">
        <f t="array" ref="B35">IFERROR(LET(s,IFERROR(MATCH(TRUE,INDEX('はじめに入力'!$C$56:$N$56&gt;0,0),0),""),c,IF(OR($N$2="",s="",$N$2&lt;s),"",IF(INDEX('毎月の実績入力'!$C$40:$N$40,$N$2)="","",SUM(OFFSET('毎月の実績入力'!$C$44,0,s-1,1,$N$2-s+1))+SUM(OFFSET('はじめに入力'!$C$59,0,s-1,1,$N$2-s+1)))),IF(c="","",SUM(OFFSET('毎月の実績入力'!$C$40,0,s-1,1,$N$2-s+1)))),"")</f>
      </c>
      <c r="C35" s="148">
        <f t="array" ref="C35">IFERROR(IF(B35="","",LET(s,IFERROR(MATCH(TRUE,INDEX('はじめに入力'!$C$56:$N$56&gt;0,0),0),""),IFERROR(B35/SUM(OFFSET('はじめに入力'!$C$56,0,s-1,1,$N$2-s+1)),""))),"")</f>
      </c>
      <c r="D35" s="147">
        <f t="array" ref="D35">IFERROR(LET(s,IFERROR(MATCH(TRUE,INDEX('はじめに入力'!$C$56:$N$56&gt;0,0),0),""),c,IF(OR($N$2="",s="",$N$2&lt;s),"",IF(INDEX('毎月の実績入力'!$C$40:$N$40,$N$2)="","",SUM(OFFSET('毎月の実績入力'!$C$44,0,s-1,1,$N$2-s+1))+SUM(OFFSET('はじめに入力'!$C$59,0,s-1,1,$N$2-s+1)))),IF(c="","",SUM(OFFSET('毎月の実績入力'!$C$41,0,s-1,1,$N$2-s+1)))),"")</f>
      </c>
      <c r="E35" s="148">
        <f t="array" ref="E35">IFERROR(IF(D35="","",LET(s,IFERROR(MATCH(TRUE,INDEX('はじめに入力'!$C$56:$N$56&gt;0,0),0),""),IFERROR(D35/SUM(OFFSET('はじめに入力'!$C$57,0,s-1,1,$N$2-s+1)),""))),"")</f>
      </c>
      <c r="F35" s="149">
        <f t="array" ref="F35">IFERROR(LET(s,IFERROR(MATCH(TRUE,INDEX('はじめに入力'!$C$56:$N$56&gt;0,0),0),""),c,IF(OR($N$2="",s="",$N$2&lt;s),"",IF(INDEX('毎月の実績入力'!$C$40:$N$40,$N$2)="","",SUM(OFFSET('毎月の実績入力'!$C$44,0,s-1,1,$N$2-s+1))+SUM(OFFSET('はじめに入力'!$C$59,0,s-1,1,$N$2-s+1)))),IF(c="","",IFERROR(c/B35,"―"))),"")</f>
      </c>
      <c r="G35" s="150">
        <f t="array" ref="G35">IFERROR(IF(F35="","",LET(s,IFERROR(MATCH(TRUE,INDEX('はじめに入力'!$C$56:$N$56&gt;0,0),0),""),IF(SUM(OFFSET('毎月の実績入力'!$C$44,0,s-1,1,$N$2-s+1))=0,"費用なし",IF(OR(F35="―",F35&gt;'はじめに入力'!$I$7),"上限超え","上限内")))),"")</f>
      </c>
      <c r="H35" s="150">
        <f t="array" ref="H35">IFERROR(IF(G35="","",LET(s,IFERROR(MATCH(TRUE,INDEX('はじめに入力'!$C$56:$N$56&gt;0,0),0),""),IF($N$2&lt;s+6,"判定前",IF(G35="費用なし","判定しない",IF(AND(G35="上限超え",C35&lt;0.9),"撤退を検討","なし"))))),"")</f>
      </c>
      <c r="I35" s="112"/>
      <c r="J35" s="112"/>
      <c r="K35" s="112"/>
      <c r="L35" s="112"/>
      <c r="M35" s="85">
        <f t="array" ref="M35">INDEX('毎月の実績入力'!$C$4:$N$4,11)</f>
      </c>
      <c r="N35" s="85">
        <f>IF(11&lt;=$N$2,SUM(OFFSET('毎月の実績入力'!$C$8,0,0,1,11)),NA())</f>
      </c>
      <c r="O35" s="85">
        <f>IF(11&lt;$N$2,NA(),IF($N$2&gt;=12,$N$7,($N$8+($N$12-$N$8)*(11-$N$2)/(12-$N$2))/$N$3))</f>
      </c>
      <c r="P35" s="104">
        <f>'はじめに入力'!$H$17</f>
      </c>
    </row>
    <row r="36" ht="16.5" customHeight="1">
      <c r="A36" s="146" t="s">
        <v>99</v>
      </c>
      <c r="B36" s="147">
        <f t="array" ref="B36">IFERROR(LET(s,IFERROR(MATCH(TRUE,INDEX('はじめに入力'!$C$62:$N$62&gt;0,0),0),""),c,IF(OR($N$2="",s="",$N$2&lt;s),"",IF(INDEX('毎月の実績入力'!$C$48:$N$48,$N$2)="","",SUM(OFFSET('毎月の実績入力'!$C$52,0,s-1,1,$N$2-s+1))+SUM(OFFSET('はじめに入力'!$C$65,0,s-1,1,$N$2-s+1)))),IF(c="","",SUM(OFFSET('毎月の実績入力'!$C$48,0,s-1,1,$N$2-s+1)))),"")</f>
      </c>
      <c r="C36" s="148">
        <f t="array" ref="C36">IFERROR(IF(B36="","",LET(s,IFERROR(MATCH(TRUE,INDEX('はじめに入力'!$C$62:$N$62&gt;0,0),0),""),IFERROR(B36/SUM(OFFSET('はじめに入力'!$C$62,0,s-1,1,$N$2-s+1)),""))),"")</f>
      </c>
      <c r="D36" s="147">
        <f t="array" ref="D36">IFERROR(LET(s,IFERROR(MATCH(TRUE,INDEX('はじめに入力'!$C$62:$N$62&gt;0,0),0),""),c,IF(OR($N$2="",s="",$N$2&lt;s),"",IF(INDEX('毎月の実績入力'!$C$48:$N$48,$N$2)="","",SUM(OFFSET('毎月の実績入力'!$C$52,0,s-1,1,$N$2-s+1))+SUM(OFFSET('はじめに入力'!$C$65,0,s-1,1,$N$2-s+1)))),IF(c="","",SUM(OFFSET('毎月の実績入力'!$C$49,0,s-1,1,$N$2-s+1)))),"")</f>
      </c>
      <c r="E36" s="148">
        <f t="array" ref="E36">IFERROR(IF(D36="","",LET(s,IFERROR(MATCH(TRUE,INDEX('はじめに入力'!$C$62:$N$62&gt;0,0),0),""),IFERROR(D36/SUM(OFFSET('はじめに入力'!$C$63,0,s-1,1,$N$2-s+1)),""))),"")</f>
      </c>
      <c r="F36" s="149">
        <f t="array" ref="F36">IFERROR(LET(s,IFERROR(MATCH(TRUE,INDEX('はじめに入力'!$C$62:$N$62&gt;0,0),0),""),c,IF(OR($N$2="",s="",$N$2&lt;s),"",IF(INDEX('毎月の実績入力'!$C$48:$N$48,$N$2)="","",SUM(OFFSET('毎月の実績入力'!$C$52,0,s-1,1,$N$2-s+1))+SUM(OFFSET('はじめに入力'!$C$65,0,s-1,1,$N$2-s+1)))),IF(c="","",IFERROR(c/B36,"―"))),"")</f>
      </c>
      <c r="G36" s="150">
        <f t="array" ref="G36">IFERROR(IF(F36="","",LET(s,IFERROR(MATCH(TRUE,INDEX('はじめに入力'!$C$62:$N$62&gt;0,0),0),""),IF(SUM(OFFSET('毎月の実績入力'!$C$52,0,s-1,1,$N$2-s+1))=0,"費用なし",IF(OR(F36="―",F36&gt;'はじめに入力'!$I$7),"上限超え","上限内")))),"")</f>
      </c>
      <c r="H36" s="150">
        <f t="array" ref="H36">IFERROR(IF(G36="","",LET(s,IFERROR(MATCH(TRUE,INDEX('はじめに入力'!$C$62:$N$62&gt;0,0),0),""),IF($N$2&lt;s+6,"判定前",IF(G36="費用なし","判定しない",IF(AND(G36="上限超え",C36&lt;0.9),"撤退を検討","なし"))))),"")</f>
      </c>
      <c r="I36" s="112"/>
      <c r="J36" s="112"/>
      <c r="K36" s="112"/>
      <c r="L36" s="112"/>
      <c r="M36" s="85">
        <f t="array" ref="M36">INDEX('毎月の実績入力'!$C$4:$N$4,12)</f>
      </c>
      <c r="N36" s="85">
        <f>IF(12&lt;=$N$2,SUM(OFFSET('毎月の実績入力'!$C$8,0,0,1,12)),NA())</f>
      </c>
      <c r="O36" s="85">
        <f>IF(12&lt;$N$2,NA(),IF($N$2&gt;=12,$N$7,($N$8+($N$12-$N$8)*(12-$N$2)/(12-$N$2))/$N$3))</f>
      </c>
      <c r="P36" s="104">
        <f>'はじめに入力'!$H$17</f>
      </c>
    </row>
    <row r="37" ht="16.5" customHeight="1">
      <c r="A37" s="146" t="s">
        <v>62</v>
      </c>
      <c r="B37" s="147">
        <f t="array" ref="B37">IFERROR(LET(s,IFERROR(MATCH(TRUE,INDEX('はじめに入力'!$C$68:$N$68&gt;0,0),0),""),c,IF(OR($N$2="",s="",$N$2&lt;s),"",IF(INDEX('毎月の実績入力'!$C$56:$N$56,$N$2)="","",SUM(OFFSET('毎月の実績入力'!$C$60,0,s-1,1,$N$2-s+1))+SUM(OFFSET('はじめに入力'!$C$71,0,s-1,1,$N$2-s+1)))),IF(c="","",SUM(OFFSET('毎月の実績入力'!$C$56,0,s-1,1,$N$2-s+1)))),"")</f>
      </c>
      <c r="C37" s="148">
        <f t="array" ref="C37">IFERROR(IF(B37="","",LET(s,IFERROR(MATCH(TRUE,INDEX('はじめに入力'!$C$68:$N$68&gt;0,0),0),""),IFERROR(B37/SUM(OFFSET('はじめに入力'!$C$68,0,s-1,1,$N$2-s+1)),""))),"")</f>
      </c>
      <c r="D37" s="147">
        <f t="array" ref="D37">IFERROR(LET(s,IFERROR(MATCH(TRUE,INDEX('はじめに入力'!$C$68:$N$68&gt;0,0),0),""),c,IF(OR($N$2="",s="",$N$2&lt;s),"",IF(INDEX('毎月の実績入力'!$C$56:$N$56,$N$2)="","",SUM(OFFSET('毎月の実績入力'!$C$60,0,s-1,1,$N$2-s+1))+SUM(OFFSET('はじめに入力'!$C$71,0,s-1,1,$N$2-s+1)))),IF(c="","",SUM(OFFSET('毎月の実績入力'!$C$57,0,s-1,1,$N$2-s+1)))),"")</f>
      </c>
      <c r="E37" s="148">
        <f t="array" ref="E37">IFERROR(IF(D37="","",LET(s,IFERROR(MATCH(TRUE,INDEX('はじめに入力'!$C$68:$N$68&gt;0,0),0),""),IFERROR(D37/SUM(OFFSET('はじめに入力'!$C$69,0,s-1,1,$N$2-s+1)),""))),"")</f>
      </c>
      <c r="F37" s="149">
        <f t="array" ref="F37">IFERROR(LET(s,IFERROR(MATCH(TRUE,INDEX('はじめに入力'!$C$68:$N$68&gt;0,0),0),""),c,IF(OR($N$2="",s="",$N$2&lt;s),"",IF(INDEX('毎月の実績入力'!$C$56:$N$56,$N$2)="","",SUM(OFFSET('毎月の実績入力'!$C$60,0,s-1,1,$N$2-s+1))+SUM(OFFSET('はじめに入力'!$C$71,0,s-1,1,$N$2-s+1)))),IF(c="","",IFERROR(c/B37,"―"))),"")</f>
      </c>
      <c r="G37" s="150">
        <f t="array" ref="G37">IFERROR(IF(F37="","",LET(s,IFERROR(MATCH(TRUE,INDEX('はじめに入力'!$C$68:$N$68&gt;0,0),0),""),IF(SUM(OFFSET('毎月の実績入力'!$C$60,0,s-1,1,$N$2-s+1))=0,"費用なし",IF(OR(F37="―",F37&gt;'はじめに入力'!$I$7),"上限超え","上限内")))),"")</f>
      </c>
      <c r="H37" s="150">
        <f t="array" ref="H37">IFERROR(IF(G37="","",LET(s,IFERROR(MATCH(TRUE,INDEX('はじめに入力'!$C$68:$N$68&gt;0,0),0),""),IF($N$2&lt;s+6,"判定前",IF(G37="費用なし","判定しない",IF(AND(G37="上限超え",C37&lt;0.9),"撤退を検討","なし"))))),"")</f>
      </c>
      <c r="I37" s="112"/>
      <c r="J37" s="112"/>
      <c r="K37" s="112"/>
      <c r="L37" s="112"/>
    </row>
    <row r="38" ht="16.5" customHeight="1">
      <c r="A38" s="123">
        <f>"許容CPL "&amp;TEXT('はじめに入力'!$I$7,"0.0")&amp;"万円"</f>
      </c>
      <c r="B38" s="174" t="s">
        <v>118</v>
      </c>
      <c r="C38" s="174" t="s">
        <v>118</v>
      </c>
      <c r="D38" s="174" t="s">
        <v>118</v>
      </c>
      <c r="E38" s="174" t="s">
        <v>118</v>
      </c>
      <c r="F38" s="174" t="s">
        <v>118</v>
      </c>
      <c r="G38" s="174" t="s">
        <v>118</v>
      </c>
      <c r="H38" s="174" t="s">
        <v>118</v>
      </c>
      <c r="I38" s="112"/>
      <c r="J38" s="112"/>
      <c r="K38" s="112"/>
      <c r="L38" s="112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6.5" customHeight="1">
      <c r="A39" s="175" t="s">
        <v>118</v>
      </c>
      <c r="B39" s="175" t="s">
        <v>118</v>
      </c>
      <c r="C39" s="175" t="s">
        <v>118</v>
      </c>
      <c r="D39" s="175" t="s">
        <v>118</v>
      </c>
      <c r="E39" s="175" t="s">
        <v>118</v>
      </c>
      <c r="F39" s="175" t="s">
        <v>118</v>
      </c>
      <c r="G39" s="175" t="s">
        <v>118</v>
      </c>
      <c r="H39" s="175" t="s">
        <v>118</v>
      </c>
      <c r="I39" s="175" t="s">
        <v>118</v>
      </c>
      <c r="J39" s="175" t="s">
        <v>118</v>
      </c>
      <c r="K39" s="175" t="s">
        <v>118</v>
      </c>
      <c r="L39" s="175" t="s">
        <v>118</v>
      </c>
      <c r="M39" s="27"/>
    </row>
    <row r="40">
      <c r="A40" s="114" t="s">
        <v>208</v>
      </c>
      <c r="B40" s="144" t="s">
        <v>118</v>
      </c>
      <c r="C40" s="144" t="s">
        <v>118</v>
      </c>
      <c r="D40" s="144" t="s">
        <v>118</v>
      </c>
      <c r="E40" s="144" t="s">
        <v>118</v>
      </c>
      <c r="F40" s="144" t="s">
        <v>118</v>
      </c>
      <c r="G40" s="144" t="s">
        <v>118</v>
      </c>
      <c r="H40" s="144" t="s">
        <v>118</v>
      </c>
      <c r="I40" s="144" t="s">
        <v>118</v>
      </c>
      <c r="J40" s="144" t="s">
        <v>118</v>
      </c>
      <c r="K40" s="144" t="s">
        <v>118</v>
      </c>
      <c r="L40" s="144" t="s">
        <v>118</v>
      </c>
      <c r="M40" s="27"/>
    </row>
    <row r="41" ht="16.5" customHeight="1">
      <c r="A41" s="27" t="s">
        <v>118</v>
      </c>
      <c r="B41" s="27" t="s">
        <v>118</v>
      </c>
      <c r="C41" s="27" t="s">
        <v>118</v>
      </c>
      <c r="D41" s="27" t="s">
        <v>118</v>
      </c>
      <c r="E41" s="27" t="s">
        <v>118</v>
      </c>
      <c r="F41" s="27" t="s">
        <v>118</v>
      </c>
      <c r="G41" s="27" t="s">
        <v>118</v>
      </c>
      <c r="H41" s="27" t="s">
        <v>118</v>
      </c>
      <c r="I41" s="27" t="s">
        <v>118</v>
      </c>
      <c r="J41" s="27" t="s">
        <v>118</v>
      </c>
      <c r="K41" s="27" t="s">
        <v>118</v>
      </c>
      <c r="L41" s="27" t="s">
        <v>118</v>
      </c>
    </row>
    <row r="42" ht="16.5" customHeight="1">
      <c r="A42" s="145" t="s">
        <v>199</v>
      </c>
      <c r="B42" s="145" t="s">
        <v>13</v>
      </c>
      <c r="C42" s="176" t="s">
        <v>14</v>
      </c>
      <c r="D42" s="133"/>
      <c r="E42" s="82"/>
      <c r="F42" s="176" t="s">
        <v>24</v>
      </c>
      <c r="G42" s="133"/>
      <c r="H42" s="133"/>
      <c r="I42" s="133"/>
      <c r="J42" s="82"/>
      <c r="K42" s="145" t="s">
        <v>27</v>
      </c>
      <c r="L42" s="145" t="s">
        <v>30</v>
      </c>
      <c r="M42" s="27"/>
    </row>
    <row r="43" ht="32.25" customHeight="1">
      <c r="A43" s="177">
        <f>IF($S$24="","",$S$24)</f>
      </c>
      <c r="B43" s="177">
        <f>IF($S$24="","",$R$24)</f>
      </c>
      <c r="C43" s="178">
        <f>IFERROR(__xludf.DUMMYFUNCTION("IF($S$24="""",""計画を下回っている指標はありません"",$V$24&amp;IFERROR(REGEXEXTRACT($U$24,""（[^（]*）$""),""""))"),"上限超え（13.2／許容6.7）")</f>
      </c>
      <c r="D43" s="133"/>
      <c r="E43" s="82"/>
      <c r="F43" s="178">
        <f>IFERROR(__xludf.DUMMYFUNCTION("IF($S$24="""","""",IFERROR(TEXTJOIN(""／"",TRUE,FILTER('施策ログ'!$G$5:$G$69,'施策ログ'!$C$5:$C$69=$R$24,'施策ログ'!$B$5:$B$69=$S$24,('施策ログ'!$N$5:$N$69=""予定"")+('施策ログ'!$N$5:$N$69=""実施中""))),""未登録""))"),"配信を月1回から月2回に増やす")</f>
      </c>
      <c r="G43" s="133"/>
      <c r="H43" s="133"/>
      <c r="I43" s="133"/>
      <c r="J43" s="82"/>
      <c r="K43" s="179">
        <f>IFERROR(__xludf.DUMMYFUNCTION("IF($S$24="""","""",IFERROR(TEXTJOIN(""／"",TRUE,FILTER('施策ログ'!$L$5:$L$69,'施策ログ'!$C$5:$C$69=$R$24,'施策ログ'!$B$5:$B$69=$S$24,('施策ログ'!$N$5:$N$69=""予定"")+('施策ログ'!$N$5:$N$69=""実施中""))),""—""))"),"11月")</f>
      </c>
      <c r="L43" s="179">
        <f>IFERROR(__xludf.DUMMYFUNCTION("IF($S$24="""","""",IFERROR(TEXTJOIN(""／"",TRUE,FILTER('施策ログ'!$N$5:$N$69,'施策ログ'!$C$5:$C$69=$R$24,'施策ログ'!$B$5:$B$69=$S$24,('施策ログ'!$N$5:$N$69=""予定"")+('施策ログ'!$N$5:$N$69=""実施中""))),""—""))"),"予定")</f>
      </c>
      <c r="M43" s="27"/>
    </row>
    <row r="44" ht="32.25" customHeight="1">
      <c r="A44" s="177">
        <f>IF($S$25="","",$S$25)</f>
      </c>
      <c r="B44" s="177">
        <f>IF($S$25="","",$R$25)</f>
      </c>
      <c r="C44" s="178">
        <f>IFERROR(__xludf.DUMMYFUNCTION("IF($S$25="""","""",$V$25&amp;IFERROR(REGEXEXTRACT($U$25,""（[^（]*）$""),""""))"),"届かない（達成率66%）")</f>
      </c>
      <c r="D44" s="133"/>
      <c r="E44" s="82"/>
      <c r="F44" s="178">
        <f>IFERROR(__xludf.DUMMYFUNCTION("IF($S$25="""","""",IFERROR(TEXTJOIN(""／"",TRUE,FILTER('施策ログ'!$G$5:$G$69,'施策ログ'!$C$5:$C$69=$R$25,'施策ログ'!$B$5:$B$69=$S$25,('施策ログ'!$N$5:$N$69=""予定"")+('施策ログ'!$N$5:$N$69=""実施中""))),""未登録""))"),"検索語句レポートを見て、関連性の低い語句を除外キーワードに入れる")</f>
      </c>
      <c r="G44" s="133"/>
      <c r="H44" s="133"/>
      <c r="I44" s="133"/>
      <c r="J44" s="82"/>
      <c r="K44" s="179">
        <f>IFERROR(__xludf.DUMMYFUNCTION("IF($S$25="""","""",IFERROR(TEXTJOIN(""／"",TRUE,FILTER('施策ログ'!$L$5:$L$69,'施策ログ'!$C$5:$C$69=$R$25,'施策ログ'!$B$5:$B$69=$S$25,('施策ログ'!$N$5:$N$69=""予定"")+('施策ログ'!$N$5:$N$69=""実施中""))),""—""))"),"11月")</f>
      </c>
      <c r="L44" s="179">
        <f>IFERROR(__xludf.DUMMYFUNCTION("IF($S$25="""","""",IFERROR(TEXTJOIN(""／"",TRUE,FILTER('施策ログ'!$N$5:$N$69,'施策ログ'!$C$5:$C$69=$R$25,'施策ログ'!$B$5:$B$69=$S$25,('施策ログ'!$N$5:$N$69=""予定"")+('施策ログ'!$N$5:$N$69=""実施中""))),""—""))"),"予定")</f>
      </c>
      <c r="M44" s="27"/>
    </row>
    <row r="45" ht="32.25" customHeight="1">
      <c r="A45" s="177">
        <f>IF($S$26="","",$S$26)</f>
      </c>
      <c r="B45" s="177">
        <f>IF($S$26="","",$R$26)</f>
      </c>
      <c r="C45" s="178">
        <f>IFERROR(__xludf.DUMMYFUNCTION("IF($S$26="""","""",$V$26&amp;IFERROR(REGEXEXTRACT($U$26,""（[^（]*）$""),""""))"),"届かない（達成率82%）")</f>
      </c>
      <c r="D45" s="133"/>
      <c r="E45" s="82"/>
      <c r="F45" s="178">
        <f>IFERROR(__xludf.DUMMYFUNCTION("IF($S$26="""","""",IFERROR(TEXTJOIN(""／"",TRUE,FILTER('施策ログ'!$G$5:$G$69,'施策ログ'!$C$5:$C$69=$R$26,'施策ログ'!$B$5:$B$69=$S$26,('施策ログ'!$N$5:$N$69=""予定"")+('施策ログ'!$N$5:$N$69=""実施中""))),""未登録""))"),"名刺交換・展示会・セミナー・資料DLで接点を持った人を法律に沿ってリストに入れ、フォームに配信の同意欄を置く")</f>
      </c>
      <c r="G45" s="133"/>
      <c r="H45" s="133"/>
      <c r="I45" s="133"/>
      <c r="J45" s="82"/>
      <c r="K45" s="179">
        <f>IFERROR(__xludf.DUMMYFUNCTION("IF($S$26="""","""",IFERROR(TEXTJOIN(""／"",TRUE,FILTER('施策ログ'!$L$5:$L$69,'施策ログ'!$C$5:$C$69=$R$26,'施策ログ'!$B$5:$B$69=$S$26,('施策ログ'!$N$5:$N$69=""予定"")+('施策ログ'!$N$5:$N$69=""実施中""))),""—""))"),"10月")</f>
      </c>
      <c r="L45" s="179">
        <f>IFERROR(__xludf.DUMMYFUNCTION("IF($S$26="""","""",IFERROR(TEXTJOIN(""／"",TRUE,FILTER('施策ログ'!$N$5:$N$69,'施策ログ'!$C$5:$C$69=$R$26,'施策ログ'!$B$5:$B$69=$S$26,('施策ログ'!$N$5:$N$69=""予定"")+('施策ログ'!$N$5:$N$69=""実施中""))),""—""))"),"実施中")</f>
      </c>
    </row>
    <row r="46" ht="16.5" customHeight="1">
      <c r="A46" s="180">
        <f>IFERROR(__xludf.DUMMYFUNCTION("IF($N$21="""","""",""来月（""&amp;$N$21&amp;""）の予定：""&amp;IFERROR(TEXTJOIN(""／"",TRUE,FILTER('施策ログ'!$C$5:$C$50&amp;""｜""&amp;'施策ログ'!$G$5:$G$50,'施策ログ'!$L$5:$L$50=$N$21,'施策ログ'!$G$5:$G$50&lt;&gt;"""")),""なし""))"),"来月（11月）の予定：Web広告｜検索語句レポートを見て、関連性の低い語句を除外キーワードに入れる／メール｜配信を月1回から月2回に増やす／全体｜フォームで比較している相手と検討の時期を聞く")</f>
      </c>
    </row>
    <row r="47" ht="16.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</row>
    <row r="48" ht="16.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</row>
    <row r="49" ht="16.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</row>
  </sheetData>
  <mergeCells count="59">
    <mergeCell ref="E25:I25"/>
    <mergeCell ref="J25:K25"/>
    <mergeCell ref="B23:C23"/>
    <mergeCell ref="E23:I23"/>
    <mergeCell ref="J23:K23"/>
    <mergeCell ref="B24:C24"/>
    <mergeCell ref="E24:I24"/>
    <mergeCell ref="J24:K24"/>
    <mergeCell ref="B25:C25"/>
    <mergeCell ref="C42:E42"/>
    <mergeCell ref="C43:E43"/>
    <mergeCell ref="C44:E44"/>
    <mergeCell ref="C45:E45"/>
    <mergeCell ref="F43:J43"/>
    <mergeCell ref="F44:J44"/>
    <mergeCell ref="F45:J45"/>
    <mergeCell ref="A46:L46"/>
    <mergeCell ref="B26:C26"/>
    <mergeCell ref="E26:I26"/>
    <mergeCell ref="J26:K26"/>
    <mergeCell ref="B27:C27"/>
    <mergeCell ref="E27:I27"/>
    <mergeCell ref="J27:K27"/>
    <mergeCell ref="F42:J42"/>
    <mergeCell ref="D7:E7"/>
    <mergeCell ref="F7:G7"/>
    <mergeCell ref="A5:C5"/>
    <mergeCell ref="D5:E5"/>
    <mergeCell ref="F5:G5"/>
    <mergeCell ref="A6:C6"/>
    <mergeCell ref="D6:E6"/>
    <mergeCell ref="F6:G6"/>
    <mergeCell ref="A7:C7"/>
    <mergeCell ref="G15:I15"/>
    <mergeCell ref="J15:L15"/>
    <mergeCell ref="A16:C16"/>
    <mergeCell ref="D16:F16"/>
    <mergeCell ref="G16:I16"/>
    <mergeCell ref="J16:L16"/>
    <mergeCell ref="A17:C17"/>
    <mergeCell ref="D17:F17"/>
    <mergeCell ref="G17:I17"/>
    <mergeCell ref="J17:L17"/>
    <mergeCell ref="A8:B8"/>
    <mergeCell ref="D8:E8"/>
    <mergeCell ref="F8:G8"/>
    <mergeCell ref="A9:G9"/>
    <mergeCell ref="A10:G10"/>
    <mergeCell ref="A15:C15"/>
    <mergeCell ref="D15:F15"/>
    <mergeCell ref="E22:I22"/>
    <mergeCell ref="J22:K22"/>
    <mergeCell ref="B20:C20"/>
    <mergeCell ref="E20:I20"/>
    <mergeCell ref="J20:K20"/>
    <mergeCell ref="B21:C21"/>
    <mergeCell ref="E21:I21"/>
    <mergeCell ref="J21:K21"/>
    <mergeCell ref="B22:C22"/>
  </mergeCells>
  <conditionalFormatting sqref="H32:H37">
    <cfRule type="cellIs" dxfId="4" priority="1" stopIfTrue="1" operator="equal">
      <formula>"撤退を検討"</formula>
    </cfRule>
  </conditionalFormatting>
  <conditionalFormatting sqref="G32:G37">
    <cfRule type="cellIs" dxfId="5" priority="2" stopIfTrue="1" operator="equal">
      <formula>"上限超え"</formula>
    </cfRule>
  </conditionalFormatting>
  <conditionalFormatting sqref="E32:E37">
    <cfRule type="expression" dxfId="5" priority="3" stopIfTrue="1">
      <formula>AND(ISNUMBER(E32),E32&gt;=0.9,E32&lt;1)</formula>
    </cfRule>
  </conditionalFormatting>
  <conditionalFormatting sqref="E32:E37">
    <cfRule type="expression" dxfId="4" priority="4" stopIfTrue="1">
      <formula>AND(ISNUMBER(E32),E32&lt;0.9)</formula>
    </cfRule>
  </conditionalFormatting>
  <conditionalFormatting sqref="C32:C37">
    <cfRule type="expression" dxfId="5" priority="5" stopIfTrue="1">
      <formula>AND(ISNUMBER(C32),C32&gt;=0.9,C32&lt;1)</formula>
    </cfRule>
  </conditionalFormatting>
  <conditionalFormatting sqref="C32:C37">
    <cfRule type="expression" dxfId="4" priority="6" stopIfTrue="1">
      <formula>AND(ISNUMBER(C32),C32&lt;0.9)</formula>
    </cfRule>
  </conditionalFormatting>
  <conditionalFormatting sqref="D21:D27">
    <cfRule type="expression" dxfId="4" priority="7" stopIfTrue="1">
      <formula>AND(ISNUMBER(D21),D21&lt;0.9)</formula>
    </cfRule>
  </conditionalFormatting>
  <conditionalFormatting sqref="D21:D27">
    <cfRule type="expression" dxfId="5" priority="8" stopIfTrue="1">
      <formula>AND(ISNUMBER(D21),D21&gt;=0.9,D21&lt;1)</formula>
    </cfRule>
  </conditionalFormatting>
  <conditionalFormatting sqref="C8">
    <cfRule type="cellIs" dxfId="6" priority="9" stopIfTrue="1" operator="equal">
      <formula>"届かない"</formula>
    </cfRule>
  </conditionalFormatting>
  <conditionalFormatting sqref="C8">
    <cfRule type="cellIs" dxfId="7" priority="10" stopIfTrue="1" operator="equal">
      <formula>"やや届かない"</formula>
    </cfRule>
  </conditionalFormatting>
  <dataValidations>
    <dataValidation type="list" allowBlank="1" showErrorMessage="1" sqref="J1">
      <formula1>'毎月の実績入力'!$C$4:$N$4</formula1>
    </dataValidation>
  </dataValidations>
  <drawing r:id="rId1"/>
</worksheet>
</file>

<file path=xl/worksheets/sheet_diag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.75"/>
  <cols>
    <col min="1" max="1" width="18" customWidth="1"/>
    <col min="2" max="10" width="12" customWidth="1"/>
  </cols>
  <sheetData/>
  <pageMargins left="0.5" right="0.5" top="0.6" bottom="0.6" header="0.3" footer="0.3"/>
  <pageSetup paperSize="9" orientation="portrait" fitToWidth="1" fitToHeight="0"/>
</worksheet>
</file>