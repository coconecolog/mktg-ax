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使い方" sheetId="1" r:id="rId5"/>
    <sheet state="visible" name="はじめに入力" sheetId="2" r:id="rId6"/>
    <sheet state="visible" name="毎月の実績入力" sheetId="3" r:id="rId7"/>
    <sheet state="visible" name="展示会" sheetId="4" r:id="rId8"/>
    <sheet state="visible" name="セミナー" sheetId="5" r:id="rId9"/>
    <sheet state="visible" name="Web広告" sheetId="6" r:id="rId10"/>
    <sheet state="visible" name="自社サイト" sheetId="7" r:id="rId11"/>
    <sheet state="visible" name="SNS" sheetId="8" r:id="rId12"/>
    <sheet state="visible" name="メール" sheetId="9" r:id="rId13"/>
    <sheet state="visible" name="全体" sheetId="10" r:id="rId14"/>
  </sheets>
  <definedNames/>
  <calcPr fullCalcOnLoad="1"/>
</workbook>
</file>

<file path=xl/sharedStrings.xml><?xml version="1.0" encoding="utf-8"?>
<sst xmlns="http://schemas.openxmlformats.org/spreadsheetml/2006/main" count="382" uniqueCount="97">
  <si>
    <t>KPI管理表　はじめに入力</t>
  </si>
  <si>
    <t>KPI管理表</t>
  </si>
  <si>
    <t>KPI管理表　毎月の実績入力</t>
  </si>
  <si>
    <t>このシートでできること</t>
  </si>
  <si>
    <t>灰色＝入力　白＝自動計算　単位：万円</t>
  </si>
  <si>
    <t>展示会</t>
  </si>
  <si>
    <t>チャネル別に、毎月の費用・リード数・有効リード数を計画と比べ、CPLの判定と撤退の判断を自動で出します。商談数・受注数は期末に年間の数字だけを入れ、年間の目標と比べます</t>
  </si>
  <si>
    <t>使い方（シートは左から 計画 → 実績 → 判定 の順に並んでいます）</t>
  </si>
  <si>
    <t xml:space="preserve">1. 「はじめに入力」の灰色のセルには、KPI管理表メーカーで入れた数字が入っています。計画を変えるときは、灰色のセルを書き換える</t>
  </si>
  <si>
    <t>期のはじめに1回だけ入力します。年間予算表を作った人は、年間予算表の「1. 前提の入力」「2. チャネル別の計画（年間）の入力」と同じ数字を入れます</t>
  </si>
  <si>
    <t xml:space="preserve">2. 各チャネルのシートの「1. 計画」の月別のリード数・有効リード数は、年間を12か月に分けて入っています。展示会のように月によって違う場合は書き換える。外部費用・人件費は年額÷12が自動で入るので、月ごとに違う場合だけ上書きする</t>
  </si>
  <si>
    <t>3. 毎月、「毎月の実績入力」に全チャネルのリード数・有効リード数・外部費用を入れる（各チャネルのシートの「2. 実績」に自動で反映）</t>
  </si>
  <si>
    <t>4. 毎月、「全体」で対象月を選び、予実と判定を確認する</t>
  </si>
  <si>
    <t>毎月、灰色のセルに実績を入れます。人件費は計画の月額（各チャネルのシートの人件費）を自動で表示します</t>
  </si>
  <si>
    <t>5. 期末に、営業から年間の商談数・受注数を受け取り、「全体」の「1. 年間の結果」に入れる</t>
  </si>
  <si>
    <t>色の意味</t>
  </si>
  <si>
    <t>赤＝直す（撤退を検討、届かない）　オレンジ＝確認する（上限超え、やや届かない、計画の合計が年間の目標と合わない）</t>
  </si>
  <si>
    <t>1. 前提</t>
  </si>
  <si>
    <t>開始月</t>
  </si>
  <si>
    <t xml:space="preserve">入っている数字</t>
  </si>
  <si>
    <t xml:space="preserve">「はじめに入力」と月別の計画は、KPI管理表メーカーで入れた数字です。実績は空なので、毎月入れてください。Excelで開いて数字が出ないときは「編集を有効にする」を押してください</t>
  </si>
  <si>
    <t>計算式と判定の基準は、MeerKitLabの「数字の定義」に従います</t>
  </si>
  <si>
    <t>1. 実績の合計（自動）</t>
  </si>
  <si>
    <t>期首</t>
  </si>
  <si>
    <t>マーケ経由の売上目標</t>
  </si>
  <si>
    <t>平均受注単価</t>
  </si>
  <si>
    <t>粗利率</t>
  </si>
  <si>
    <t>回収期間</t>
  </si>
  <si>
    <t>項目</t>
  </si>
  <si>
    <t>リードタイム</t>
  </si>
  <si>
    <t>1社あたりの月の粗利</t>
  </si>
  <si>
    <t>CACの上限</t>
  </si>
  <si>
    <t>許容CPL</t>
  </si>
  <si>
    <t>共通費</t>
  </si>
  <si>
    <t>判定する月</t>
  </si>
  <si>
    <t>（計算用）</t>
  </si>
  <si>
    <t>2. チャネル別の計画（年間）</t>
  </si>
  <si>
    <t>チャネル</t>
  </si>
  <si>
    <t>リード数</t>
  </si>
  <si>
    <t>有効リード率</t>
  </si>
  <si>
    <t>有効リード数</t>
  </si>
  <si>
    <t>商談化率</t>
  </si>
  <si>
    <t>商談数</t>
  </si>
  <si>
    <t>受注率</t>
  </si>
  <si>
    <t>受注数</t>
  </si>
  <si>
    <t>受注金額</t>
  </si>
  <si>
    <t>外部費用</t>
  </si>
  <si>
    <t>人件費</t>
  </si>
  <si>
    <t>CPL</t>
  </si>
  <si>
    <t>CAC</t>
  </si>
  <si>
    <t>CPL判定</t>
  </si>
  <si>
    <t>1. 計画（期初に入力）</t>
  </si>
  <si>
    <t>※外部費用と人件費は、適宜修正してください。</t>
  </si>
  <si>
    <t>セミナー</t>
  </si>
  <si>
    <t>年間</t>
  </si>
  <si>
    <t>Web広告</t>
  </si>
  <si>
    <t>年間の計画と</t>
  </si>
  <si>
    <t>自社サイト</t>
  </si>
  <si>
    <t>SNS</t>
  </si>
  <si>
    <t>メール</t>
  </si>
  <si>
    <t>合計</t>
  </si>
  <si>
    <t>判定＝CPLが許容CPL以下なら「上限内」、超えたら「上限超え」。CPL・CAC・回収期間（か月）は外部費用＋人件費で計算する。許容CPL＝CACの上限×受注数÷リード数（合計）</t>
  </si>
  <si>
    <t>3. 計画の妥当性の確認：目標</t>
  </si>
  <si>
    <t>4. 計画の妥当性の確認：コスト</t>
  </si>
  <si>
    <t>2. チャネル別の実績（月別）の入力</t>
  </si>
  <si>
    <t>コスト合計</t>
  </si>
  <si>
    <t>ROI（1年）</t>
  </si>
  <si>
    <t>必要な数（逆算）</t>
  </si>
  <si>
    <t>2. 実績（「毎月の実績入力」から自動）</t>
  </si>
  <si>
    <t>計画の数</t>
  </si>
  <si>
    <t>判定</t>
  </si>
  <si>
    <t>-</t>
  </si>
  <si>
    <t>3. 判定（開始月からの累計）</t>
  </si>
  <si>
    <t>リード数の達成率</t>
  </si>
  <si>
    <t>有効リード数の達成率</t>
  </si>
  <si>
    <t>撤退の判断</t>
  </si>
  <si>
    <t>費用（外部費用＋人件費）</t>
  </si>
  <si>
    <t>開始月＝計画のリード数を最初に入れた月。判定する月＝開始月＋6か月。実績は、リード数を入れた月まで計算する。外部費用の計画は年額÷12を自動で入れているので、月ごとに違う場合は上書きする</t>
  </si>
  <si>
    <t>判定＝開始月からの累計のCPL（外部費用＋人件費÷リード数）が許容CPL以下なら「上限内」、超えたら「上限超え」</t>
  </si>
  <si>
    <t>撤退の判断＝判定する月から毎月、累計で「上限超え」かつ「リード数の達成率が90%未満」なら「撤退を検討」。費用を入れていない施策は判定しない</t>
  </si>
  <si>
    <t>KPI管理表　全体</t>
  </si>
  <si>
    <t>1. 年間の結果（期末。商談数・受注数は営業から年間の数字を受け取って入れる）</t>
  </si>
  <si>
    <t>費用</t>
  </si>
  <si>
    <t>年間の目標</t>
  </si>
  <si>
    <t>年間の実績</t>
  </si>
  <si>
    <t>達成率・差</t>
  </si>
  <si>
    <t>期末に、商談数と受注数（灰色）を入れると表示されます。リード数・有効リード数・外部費用は各チャネルのシートの実績の年間。費用＝外部費用＋人件費＋共通費。CAC＝費用÷受注数、回収期間（か月）＝CAC÷1社あたりの月の粗利。CAC・回収期間の行の「差」は実績−目標で、判定はCACの上限・回収期間（年×12か月）以内なら「上限内」</t>
  </si>
  <si>
    <t>対象月</t>
  </si>
  <si>
    <t>5月</t>
  </si>
  <si>
    <t>経過月数</t>
  </si>
  <si>
    <t>2. 予実表（対象月まで）</t>
  </si>
  <si>
    <t>計画</t>
  </si>
  <si>
    <t>実績</t>
  </si>
  <si>
    <t>判定＝達成率が100%以上なら「達成」、90〜99%なら「やや届かない」、90%未満なら「届かない」。率は差（ポイント）を表示</t>
  </si>
  <si>
    <t>3. チャネル別予実表（対象月まで）</t>
  </si>
  <si>
    <t>達成率</t>
  </si>
  <si>
    <t>費用＝外部費用＋人件費。達成率＝実績÷計画。判定と撤退の判断は各チャネルのシートと同じ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</si>
</sst>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/m/d"/>
    <numFmt numFmtId="165" formatCode="0.0"/>
    <numFmt numFmtId="166" formatCode="#,##0.0"/>
    <numFmt numFmtId="167" formatCode="+0.0&quot;pt&quot;;-0.0&quot;pt&quot;"/>
    <numFmt numFmtId="168" formatCode="+#,##0;-#,##0"/>
    <numFmt numFmtId="169" formatCode="+0.0;-0.0"/>
  </numFmts>
  <fonts count="11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9.0"/>
      <color rgb="FF666666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sz val="8.0"/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color rgb="FFFFFFFF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1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1" fillId="2" fontId="5" numFmtId="0" xfId="0" applyAlignment="1" applyBorder="1" applyFill="1" applyFont="1">
      <alignment horizontal="center" readingOrder="0" shrinkToFit="0" vertical="center" wrapText="1"/>
    </xf>
    <xf borderId="1" fillId="2" fontId="5" numFmtId="0" xfId="0" applyBorder="1" applyFill="1" applyFont="1"/>
    <xf borderId="1" fillId="2" fontId="5" numFmtId="0" xfId="0" applyAlignment="1" applyBorder="1" applyFill="1" applyFont="1">
      <alignment readingOrder="0"/>
    </xf>
    <xf borderId="1" fillId="3" fontId="4" numFmtId="164" xfId="0" applyAlignment="1" applyBorder="1" applyFill="1" applyFont="1" applyNumberFormat="1">
      <alignment horizontal="right" readingOrder="0"/>
    </xf>
    <xf borderId="0" fillId="0" fontId="4" numFmtId="0" xfId="0" applyFont="1"/>
    <xf borderId="1" fillId="3" fontId="4" numFmtId="3" xfId="0" applyAlignment="1" applyBorder="1" applyFill="1" applyFont="1" applyNumberFormat="1">
      <alignment horizontal="right" readingOrder="0"/>
    </xf>
    <xf borderId="1" fillId="3" fontId="4" numFmtId="9" xfId="0" applyAlignment="1" applyBorder="1" applyFill="1" applyFont="1" applyNumberFormat="1">
      <alignment horizontal="right" readingOrder="0"/>
    </xf>
    <xf borderId="1" fillId="3" fontId="4" numFmtId="165" xfId="0" applyAlignment="1" applyBorder="1" applyFill="1" applyFont="1" applyNumberFormat="1">
      <alignment horizontal="right" readingOrder="0"/>
    </xf>
    <xf borderId="1" fillId="3" fontId="4" numFmtId="1" xfId="0" applyAlignment="1" applyBorder="1" applyFill="1" applyFont="1" applyNumberFormat="1">
      <alignment horizontal="right" readingOrder="0"/>
    </xf>
    <xf borderId="1" fillId="2" fontId="5" numFmtId="0" xfId="0" applyAlignment="1" applyBorder="1" applyFill="1" applyFont="1">
      <alignment horizontal="right"/>
    </xf>
    <xf borderId="1" fillId="0" fontId="4" numFmtId="165" xfId="0" applyAlignment="1" applyBorder="1" applyFont="1" applyNumberFormat="1">
      <alignment horizontal="right"/>
    </xf>
    <xf borderId="0" fillId="0" fontId="4" numFmtId="165" xfId="0" applyAlignment="1" applyFont="1" applyNumberFormat="1">
      <alignment horizontal="right"/>
    </xf>
    <xf borderId="1" fillId="0" fontId="4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0" fontId="4" numFmtId="9" xfId="0" applyAlignment="1" applyBorder="1" applyFont="1" applyNumberFormat="1">
      <alignment horizontal="right"/>
    </xf>
    <xf borderId="1" fillId="0" fontId="4" numFmtId="3" xfId="0" applyAlignment="1" applyBorder="1" applyFont="1" applyNumberFormat="1">
      <alignment horizontal="right"/>
    </xf>
    <xf borderId="1" fillId="0" fontId="4" numFmtId="0" xfId="0" applyAlignment="1" applyBorder="1" applyFont="1">
      <alignment horizontal="center"/>
    </xf>
    <xf borderId="1" fillId="2" fontId="5" numFmtId="0" xfId="0" applyAlignment="1" applyBorder="1" applyFill="1" applyFont="1">
      <alignment horizontal="right" readingOrder="0"/>
    </xf>
    <xf borderId="1" fillId="0" fontId="4" numFmtId="0" xfId="0" applyBorder="1" applyFont="1"/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right"/>
    </xf>
    <xf borderId="1" fillId="0" fontId="4" numFmtId="166" xfId="0" applyAlignment="1" applyBorder="1" applyFont="1" applyNumberFormat="1">
      <alignment horizontal="right" readingOrder="0"/>
    </xf>
    <xf borderId="1" fillId="0" fontId="3" numFmtId="3" xfId="0" applyAlignment="1" applyBorder="1" applyFont="1" applyNumberFormat="1">
      <alignment horizontal="right"/>
    </xf>
    <xf borderId="1" fillId="0" fontId="3" numFmtId="9" xfId="0" applyAlignment="1" applyBorder="1" applyFont="1" applyNumberFormat="1">
      <alignment horizontal="right"/>
    </xf>
    <xf borderId="1" fillId="0" fontId="4" numFmtId="166" xfId="0" applyAlignment="1" applyBorder="1" applyFont="1" applyNumberFormat="1">
      <alignment horizontal="right"/>
    </xf>
    <xf borderId="1" fillId="0" fontId="3" numFmtId="165" xfId="0" applyAlignment="1" applyBorder="1" applyFont="1" applyNumberFormat="1">
      <alignment horizontal="right"/>
    </xf>
    <xf borderId="1" fillId="0" fontId="3" numFmtId="0" xfId="0" applyAlignment="1" applyBorder="1" applyFont="1">
      <alignment horizontal="center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2" fillId="2" fontId="7" numFmtId="0" xfId="0" applyAlignment="1" applyBorder="1" applyFill="1" applyFont="1">
      <alignment vertical="bottom"/>
    </xf>
    <xf borderId="2" fillId="2" fontId="9" numFmtId="0" xfId="0" applyAlignment="1" applyBorder="1" applyFill="1" applyFont="1">
      <alignment horizontal="center" vertical="bottom"/>
    </xf>
    <xf borderId="2" fillId="2" fontId="9" numFmtId="0" xfId="0" applyAlignment="1" applyBorder="1" applyFill="1" applyFont="1">
      <alignment horizontal="center" shrinkToFit="0" vertical="bottom" wrapText="1"/>
    </xf>
    <xf borderId="2" fillId="0" fontId="7" numFmtId="0" xfId="0" applyAlignment="1" applyBorder="1" applyFont="1">
      <alignment vertical="bottom"/>
    </xf>
    <xf borderId="3" fillId="0" fontId="4" numFmtId="0" xfId="0" applyAlignment="1" applyBorder="1" applyFont="1">
      <alignment horizontal="center" readingOrder="0" vertical="center"/>
    </xf>
    <xf borderId="2" fillId="0" fontId="7" numFmtId="3" xfId="0" applyAlignment="1" applyBorder="1" applyFont="1" applyNumberFormat="1">
      <alignment horizontal="right" vertical="bottom"/>
    </xf>
    <xf borderId="1" fillId="3" fontId="4" numFmtId="3" xfId="0" applyAlignment="1" applyBorder="1" applyFill="1" applyFont="1" applyNumberFormat="1">
      <alignment horizontal="right"/>
    </xf>
    <xf borderId="2" fillId="0" fontId="7" numFmtId="9" xfId="0" applyAlignment="1" applyBorder="1" applyFont="1" applyNumberFormat="1">
      <alignment horizontal="right" vertical="bottom"/>
    </xf>
    <xf borderId="4" fillId="0" fontId="10" numFmtId="0" xfId="0" applyBorder="1" applyFont="1"/>
    <xf borderId="1" fillId="3" fontId="4" numFmtId="166" xfId="0" applyAlignment="1" applyBorder="1" applyFill="1" applyFont="1" applyNumberFormat="1">
      <alignment horizontal="right" readingOrder="0"/>
    </xf>
    <xf borderId="1" fillId="3" fontId="4" numFmtId="166" xfId="0" applyAlignment="1" applyBorder="1" applyFill="1" applyFont="1" applyNumberFormat="1">
      <alignment horizontal="right"/>
    </xf>
    <xf borderId="5" fillId="0" fontId="10" numFmtId="0" xfId="0" applyBorder="1" applyFont="1"/>
    <xf borderId="1" fillId="2" fontId="5" numFmtId="0" xfId="0" applyAlignment="1" applyBorder="1" applyFill="1" applyFont="1">
      <alignment horizontal="left" readingOrder="0"/>
    </xf>
    <xf borderId="6" fillId="0" fontId="7" numFmtId="9" xfId="0" applyAlignment="1" applyBorder="1" applyFont="1" applyNumberFormat="1">
      <alignment horizontal="right" vertical="bottom"/>
    </xf>
    <xf borderId="6" fillId="0" fontId="7" numFmtId="3" xfId="0" applyAlignment="1" applyBorder="1" applyFont="1" applyNumberFormat="1">
      <alignment horizontal="right" vertical="bottom"/>
    </xf>
    <xf borderId="7" fillId="0" fontId="7" numFmtId="0" xfId="0" applyAlignment="1" applyBorder="1" applyFont="1">
      <alignment horizontal="center" vertical="bottom"/>
    </xf>
    <xf borderId="8" fillId="0" fontId="7" numFmtId="0" xfId="0" applyAlignment="1" applyBorder="1" applyFont="1">
      <alignment horizontal="right" vertical="bottom"/>
    </xf>
    <xf borderId="8" fillId="0" fontId="7" numFmtId="0" xfId="0" applyAlignment="1" applyBorder="1" applyFont="1">
      <alignment horizontal="center" vertical="bottom"/>
    </xf>
    <xf borderId="1" fillId="4" fontId="4" numFmtId="3" xfId="0" applyAlignment="1" applyBorder="1" applyFill="1" applyFont="1" applyNumberFormat="1">
      <alignment horizontal="right" readingOrder="0"/>
    </xf>
    <xf borderId="1" fillId="4" fontId="4" numFmtId="3" xfId="0" applyAlignment="1" applyBorder="1" applyFill="1" applyFont="1" applyNumberFormat="1">
      <alignment horizontal="right"/>
    </xf>
    <xf borderId="1" fillId="4" fontId="4" numFmtId="9" xfId="0" applyAlignment="1" applyBorder="1" applyFill="1" applyFont="1" applyNumberFormat="1">
      <alignment horizontal="right"/>
    </xf>
    <xf borderId="1" fillId="0" fontId="4" numFmtId="167" xfId="0" applyAlignment="1" applyBorder="1" applyFont="1" applyNumberFormat="1">
      <alignment horizontal="right"/>
    </xf>
    <xf borderId="1" fillId="0" fontId="4" numFmtId="168" xfId="0" applyAlignment="1" applyBorder="1" applyFont="1" applyNumberFormat="1">
      <alignment horizontal="right"/>
    </xf>
    <xf borderId="1" fillId="0" fontId="4" numFmtId="169" xfId="0" applyAlignment="1" applyBorder="1" applyFont="1" applyNumberFormat="1">
      <alignment horizontal="right"/>
    </xf>
    <xf borderId="0" fillId="3" fontId="4" numFmtId="0" xfId="0" applyAlignment="1" applyFill="1" applyFont="1">
      <alignment horizontal="right" readingOrder="0"/>
    </xf>
    <xf borderId="0" fillId="0" fontId="4" numFmtId="1" xfId="0" applyAlignment="1" applyFont="1" applyNumberFormat="1">
      <alignment horizontal="right"/>
    </xf>
    <xf borderId="1" fillId="0" fontId="4" numFmtId="0" xfId="0" applyAlignment="1" applyBorder="1" applyFont="1">
      <alignment horizontal="right" readingOrder="0"/>
    </xf>
    <xf borderId="0" fillId="5" fontId="3" numFmtId="0" xfId="0" applyAlignment="1" applyFill="1" applyFont="1">
      <alignment horizontal="right" readingOrder="0"/>
    </xf>
    <xf borderId="0" fillId="5" fontId="4" numFmtId="165" xfId="0" applyAlignment="1" applyFill="1" applyFont="1" applyNumberFormat="1">
      <alignment horizontal="right"/>
    </xf>
    <xf borderId="3" fillId="2" fontId="5" numFmtId="0" xfId="0" applyAlignment="1" applyBorder="1" applyFill="1" applyFont="1">
      <alignment readingOrder="0" vertical="center"/>
    </xf>
    <xf borderId="9" fillId="2" fontId="5" numFmtId="0" xfId="0" applyAlignment="1" applyBorder="1" applyFill="1" applyFont="1">
      <alignment horizontal="center" readingOrder="0" vertical="center"/>
    </xf>
    <xf borderId="10" fillId="0" fontId="10" numFmtId="0" xfId="0" applyBorder="1" applyFont="1"/>
    <xf borderId="3" fillId="2" fontId="5" numFmtId="0" xfId="0" applyAlignment="1" applyBorder="1" applyFill="1" applyFont="1">
      <alignment horizontal="right" readingOrder="0" vertical="center"/>
    </xf>
    <xf borderId="1" fillId="2" fontId="5" numFmtId="0" xfId="0" applyAlignment="1" applyBorder="1" applyFill="1" applyFont="1">
      <alignment horizontal="right" readingOrder="0" vertical="center"/>
    </xf>
  </cellXfs>
  <cellStyles count="1">
    <cellStyle xfId="0" name="Normal" builtinId="0"/>
  </cellStyles>
  <dxfs count="2">
    <dxf>
      <font>
        <b/>
        <color rgb="FFB45F06"/>
      </font>
      <fill>
        <patternFill patternType="solid">
          <fgColor rgb="FFFBE4CD"/>
          <bgColor rgb="FFFBE4CD"/>
        </patternFill>
      </fill>
      <border/>
    </dxf>
    <dxf>
      <font>
        <b/>
        <color rgb="FFCC0000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2.63"/>
  </cols>
  <sheetData>
    <row r="1">
      <c r="A1" s="1" t="s">
        <v>1</v>
      </c>
    </row>
    <row r="3">
      <c r="A3" s="3" t="s">
        <v>3</v>
      </c>
    </row>
    <row r="4">
      <c r="A4" s="5" t="s">
        <v>6</v>
      </c>
    </row>
    <row r="6">
      <c r="A6" s="3" t="s">
        <v>7</v>
      </c>
    </row>
    <row r="7">
      <c r="A7" s="5" t="s">
        <v>8</v>
      </c>
    </row>
    <row r="8">
      <c r="A8" s="5" t="s">
        <v>10</v>
      </c>
    </row>
    <row r="9">
      <c r="A9" s="5" t="s">
        <v>11</v>
      </c>
    </row>
    <row r="10">
      <c r="A10" s="5" t="s">
        <v>12</v>
      </c>
    </row>
    <row r="11">
      <c r="A11" s="5" t="s">
        <v>14</v>
      </c>
    </row>
    <row r="13">
      <c r="A13" s="3" t="s">
        <v>15</v>
      </c>
    </row>
    <row r="14">
      <c r="A14" s="5" t="s">
        <v>16</v>
      </c>
    </row>
    <row r="16">
      <c r="A16" s="3" t="s">
        <v>19</v>
      </c>
    </row>
    <row r="17">
      <c r="A17" s="5" t="s">
        <v>20</v>
      </c>
    </row>
    <row r="18">
      <c r="A18" s="5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88"/>
    <col customWidth="1" min="2" max="15" width="11.63"/>
  </cols>
  <sheetData>
    <row r="1">
      <c r="A1" s="1" t="s">
        <v>0</v>
      </c>
      <c r="B1" s="2"/>
      <c r="C1" s="2"/>
      <c r="D1" s="4" t="s">
        <v>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4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17</v>
      </c>
    </row>
    <row r="4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29</v>
      </c>
      <c r="G4" s="6" t="s">
        <v>30</v>
      </c>
      <c r="H4" s="6" t="s">
        <v>31</v>
      </c>
      <c r="I4" s="6" t="s">
        <v>32</v>
      </c>
      <c r="K4" s="6" t="s">
        <v>33</v>
      </c>
    </row>
    <row r="5">
      <c r="A5" s="9">
        <v>46478.0</v>
      </c>
      <c r="B5" s="11">
        <v>5750.0</v>
      </c>
      <c r="C5" s="11">
        <v>250.0</v>
      </c>
      <c r="D5" s="12">
        <v>0.4</v>
      </c>
      <c r="E5" s="13">
        <v>1.5</v>
      </c>
      <c r="F5" s="14">
        <v>4.0</v>
      </c>
      <c r="G5" s="16">
        <f>IFERROR(C5*D5/12,"")</f>
      </c>
      <c r="H5" s="16">
        <f>IFERROR(C5*D5*E5,"")</f>
      </c>
      <c r="I5" s="16">
        <f>IFERROR(H5*H15/B15,"")</f>
      </c>
      <c r="K5" s="11">
        <v>0.0</v>
      </c>
    </row>
    <row r="7">
      <c r="A7" s="3" t="s">
        <v>36</v>
      </c>
    </row>
    <row r="8">
      <c r="A8" s="6" t="s">
        <v>37</v>
      </c>
      <c r="B8" s="6" t="s">
        <v>38</v>
      </c>
      <c r="C8" s="6" t="s">
        <v>39</v>
      </c>
      <c r="D8" s="6" t="s">
        <v>40</v>
      </c>
      <c r="E8" s="6" t="s">
        <v>41</v>
      </c>
      <c r="F8" s="6" t="s">
        <v>42</v>
      </c>
      <c r="G8" s="6" t="s">
        <v>43</v>
      </c>
      <c r="H8" s="6" t="s">
        <v>44</v>
      </c>
      <c r="I8" s="6" t="s">
        <v>45</v>
      </c>
      <c r="J8" s="6" t="s">
        <v>46</v>
      </c>
      <c r="K8" s="6" t="s">
        <v>47</v>
      </c>
      <c r="L8" s="6" t="s">
        <v>48</v>
      </c>
      <c r="M8" s="6" t="s">
        <v>49</v>
      </c>
      <c r="N8" s="6" t="s">
        <v>27</v>
      </c>
      <c r="O8" s="6" t="s">
        <v>50</v>
      </c>
    </row>
    <row r="9">
      <c r="A9" s="18" t="s">
        <v>5</v>
      </c>
      <c r="B9" s="11">
        <v>220.0</v>
      </c>
      <c r="C9" s="20">
        <f t="shared" ref="C9:C15" si="1">IFERROR(D9/B9,"")</f>
      </c>
      <c r="D9" s="11">
        <v>55.0</v>
      </c>
      <c r="E9" s="20">
        <f t="shared" ref="E9:E15" si="2">IFERROR(F9/D9,"")</f>
      </c>
      <c r="F9" s="11">
        <v>22.0</v>
      </c>
      <c r="G9" s="20">
        <f t="shared" ref="G9:G15" si="3">IFERROR(H9/F9,"")</f>
      </c>
      <c r="H9" s="11">
        <v>6.0</v>
      </c>
      <c r="I9" s="21">
        <f t="shared" ref="I9:I14" si="4">H9*$C$5</f>
      </c>
      <c r="J9" s="11">
        <v>500.0</v>
      </c>
      <c r="K9" s="11">
        <v>107.0</v>
      </c>
      <c r="L9" s="16">
        <f t="shared" ref="L9:L15" si="5">IFERROR((J9+K9)/B9,"")</f>
      </c>
      <c r="M9" s="21">
        <f t="shared" ref="M9:M15" si="6">IFERROR((J9+K9)/H9,"")</f>
      </c>
      <c r="N9" s="16">
        <f t="shared" ref="N9:N15" si="7">IFERROR(M9/$G$5,"")</f>
      </c>
      <c r="O9" s="22">
        <f t="shared" ref="O9:O15" si="8">IF(L9="","",IF(L9&lt;=$I$5,"上限内","上限超え"))</f>
      </c>
    </row>
    <row r="10">
      <c r="A10" s="18" t="s">
        <v>53</v>
      </c>
      <c r="B10" s="11">
        <v>80.0</v>
      </c>
      <c r="C10" s="20">
        <f t="shared" si="1"/>
      </c>
      <c r="D10" s="11">
        <v>50.0</v>
      </c>
      <c r="E10" s="20">
        <f t="shared" si="2"/>
      </c>
      <c r="F10" s="11">
        <v>20.0</v>
      </c>
      <c r="G10" s="20">
        <f t="shared" si="3"/>
      </c>
      <c r="H10" s="11">
        <v>6.0</v>
      </c>
      <c r="I10" s="21">
        <f t="shared" si="4"/>
      </c>
      <c r="J10" s="11">
        <v>90.0</v>
      </c>
      <c r="K10" s="11">
        <v>80.0</v>
      </c>
      <c r="L10" s="16">
        <f t="shared" si="5"/>
      </c>
      <c r="M10" s="21">
        <f t="shared" si="6"/>
      </c>
      <c r="N10" s="16">
        <f t="shared" si="7"/>
      </c>
      <c r="O10" s="22">
        <f t="shared" si="8"/>
      </c>
    </row>
    <row r="11">
      <c r="A11" s="18" t="s">
        <v>55</v>
      </c>
      <c r="B11" s="11">
        <v>95.0</v>
      </c>
      <c r="C11" s="20">
        <f t="shared" si="1"/>
      </c>
      <c r="D11" s="11">
        <v>43.0</v>
      </c>
      <c r="E11" s="20">
        <f t="shared" si="2"/>
      </c>
      <c r="F11" s="11">
        <v>17.0</v>
      </c>
      <c r="G11" s="20">
        <f t="shared" si="3"/>
      </c>
      <c r="H11" s="11">
        <v>5.0</v>
      </c>
      <c r="I11" s="21">
        <f t="shared" si="4"/>
      </c>
      <c r="J11" s="11">
        <v>488.0</v>
      </c>
      <c r="K11" s="11">
        <v>35.0</v>
      </c>
      <c r="L11" s="16">
        <f t="shared" si="5"/>
      </c>
      <c r="M11" s="21">
        <f t="shared" si="6"/>
      </c>
      <c r="N11" s="16">
        <f t="shared" si="7"/>
      </c>
      <c r="O11" s="22">
        <f t="shared" si="8"/>
      </c>
    </row>
    <row r="12">
      <c r="A12" s="18" t="s">
        <v>57</v>
      </c>
      <c r="B12" s="11">
        <v>90.0</v>
      </c>
      <c r="C12" s="20">
        <f t="shared" si="1"/>
      </c>
      <c r="D12" s="11">
        <v>34.0</v>
      </c>
      <c r="E12" s="20">
        <f t="shared" si="2"/>
      </c>
      <c r="F12" s="11">
        <v>14.0</v>
      </c>
      <c r="G12" s="20">
        <f t="shared" si="3"/>
      </c>
      <c r="H12" s="11">
        <v>4.0</v>
      </c>
      <c r="I12" s="21">
        <f t="shared" si="4"/>
      </c>
      <c r="J12" s="11">
        <v>356.0</v>
      </c>
      <c r="K12" s="11">
        <v>141.0</v>
      </c>
      <c r="L12" s="16">
        <f t="shared" si="5"/>
      </c>
      <c r="M12" s="21">
        <f t="shared" si="6"/>
      </c>
      <c r="N12" s="16">
        <f t="shared" si="7"/>
      </c>
      <c r="O12" s="22">
        <f t="shared" si="8"/>
      </c>
    </row>
    <row r="13">
      <c r="A13" s="18" t="s">
        <v>58</v>
      </c>
      <c r="B13" s="11">
        <v>12.0</v>
      </c>
      <c r="C13" s="20">
        <f t="shared" si="1"/>
      </c>
      <c r="D13" s="11">
        <v>5.0</v>
      </c>
      <c r="E13" s="20">
        <f t="shared" si="2"/>
      </c>
      <c r="F13" s="11">
        <v>2.0</v>
      </c>
      <c r="G13" s="20">
        <f t="shared" si="3"/>
      </c>
      <c r="H13" s="11">
        <v>1.0</v>
      </c>
      <c r="I13" s="21">
        <f t="shared" si="4"/>
      </c>
      <c r="J13" s="11">
        <v>12.0</v>
      </c>
      <c r="K13" s="11">
        <v>42.0</v>
      </c>
      <c r="L13" s="16">
        <f t="shared" si="5"/>
      </c>
      <c r="M13" s="21">
        <f t="shared" si="6"/>
      </c>
      <c r="N13" s="16">
        <f t="shared" si="7"/>
      </c>
      <c r="O13" s="22">
        <f t="shared" si="8"/>
      </c>
    </row>
    <row r="14">
      <c r="A14" s="18" t="s">
        <v>59</v>
      </c>
      <c r="B14" s="11">
        <v>20.0</v>
      </c>
      <c r="C14" s="20">
        <f t="shared" si="1"/>
      </c>
      <c r="D14" s="11">
        <v>8.0</v>
      </c>
      <c r="E14" s="20">
        <f t="shared" si="2"/>
      </c>
      <c r="F14" s="11">
        <v>3.0</v>
      </c>
      <c r="G14" s="20">
        <f t="shared" si="3"/>
      </c>
      <c r="H14" s="11">
        <v>1.0</v>
      </c>
      <c r="I14" s="21">
        <f t="shared" si="4"/>
      </c>
      <c r="J14" s="11">
        <v>96.0</v>
      </c>
      <c r="K14" s="11">
        <v>107.0</v>
      </c>
      <c r="L14" s="16">
        <f t="shared" si="5"/>
      </c>
      <c r="M14" s="21">
        <f t="shared" si="6"/>
      </c>
      <c r="N14" s="16">
        <f t="shared" si="7"/>
      </c>
      <c r="O14" s="22">
        <f t="shared" si="8"/>
      </c>
    </row>
    <row r="15">
      <c r="A15" s="25" t="s">
        <v>60</v>
      </c>
      <c r="B15" s="28">
        <f>SUM(B9:B14)</f>
      </c>
      <c r="C15" s="29">
        <f t="shared" si="1"/>
      </c>
      <c r="D15" s="28">
        <f>SUM(D9:D14)</f>
      </c>
      <c r="E15" s="29">
        <f t="shared" si="2"/>
      </c>
      <c r="F15" s="28">
        <f>SUM(F9:F14)</f>
      </c>
      <c r="G15" s="29">
        <f t="shared" si="3"/>
      </c>
      <c r="H15" s="28">
        <f t="shared" ref="H15:K15" si="9">SUM(H9:H14)</f>
      </c>
      <c r="I15" s="28">
        <f t="shared" si="9"/>
      </c>
      <c r="J15" s="28">
        <f t="shared" si="9"/>
      </c>
      <c r="K15" s="28">
        <f t="shared" si="9"/>
      </c>
      <c r="L15" s="31">
        <f t="shared" si="5"/>
      </c>
      <c r="M15" s="28">
        <f t="shared" si="6"/>
      </c>
      <c r="N15" s="31">
        <f t="shared" si="7"/>
      </c>
      <c r="O15" s="32">
        <f t="shared" si="8"/>
      </c>
    </row>
    <row r="16">
      <c r="A16" s="4" t="s">
        <v>61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4" t="s">
        <v>62</v>
      </c>
      <c r="B18" s="33"/>
      <c r="C18" s="33"/>
      <c r="D18" s="33"/>
      <c r="E18" s="33"/>
      <c r="F18" s="33"/>
      <c r="G18" s="33"/>
      <c r="H18" s="33"/>
      <c r="I18" s="33"/>
      <c r="J18" s="33"/>
      <c r="K18" s="34" t="s">
        <v>63</v>
      </c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5"/>
      <c r="B19" s="36" t="s">
        <v>38</v>
      </c>
      <c r="C19" s="37" t="s">
        <v>39</v>
      </c>
      <c r="D19" s="36" t="s">
        <v>40</v>
      </c>
      <c r="E19" s="37" t="s">
        <v>41</v>
      </c>
      <c r="F19" s="36" t="s">
        <v>42</v>
      </c>
      <c r="G19" s="37" t="s">
        <v>43</v>
      </c>
      <c r="H19" s="36" t="s">
        <v>44</v>
      </c>
      <c r="I19" s="37" t="s">
        <v>45</v>
      </c>
      <c r="J19" s="33"/>
      <c r="K19" s="36" t="s">
        <v>65</v>
      </c>
      <c r="L19" s="36" t="s">
        <v>66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8" t="s">
        <v>67</v>
      </c>
      <c r="B20" s="40">
        <f>IF(D21=0,0,ROUNDUP(D20*B21/D21,0))</f>
      </c>
      <c r="C20" s="42">
        <f t="shared" ref="C20:C21" si="10">IF(B20=0,0,D20/B20)</f>
      </c>
      <c r="D20" s="40">
        <f>IF(F21=0,0,ROUNDUP(F20*D21/F21,0))</f>
      </c>
      <c r="E20" s="42">
        <f t="shared" ref="E20:E21" si="11">IF(D20=0,0,F20/D20)</f>
      </c>
      <c r="F20" s="40">
        <f>IF(H21=0,0,ROUNDUP(H20*F21/H21,0))</f>
      </c>
      <c r="G20" s="42">
        <f t="shared" ref="G20:G21" si="12">IF(F20=0,0,H20/F20)</f>
      </c>
      <c r="H20" s="40">
        <f>IF(C5=0,0,ROUNDUP(B5/C5,0))</f>
      </c>
      <c r="I20" s="40">
        <f>B5</f>
      </c>
      <c r="J20" s="33"/>
      <c r="K20" s="40">
        <f>J15+K15+K5</f>
      </c>
      <c r="L20" s="42">
        <f>IF(K20=0,0,(I15*D5-K20)/K20)</f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8" t="s">
        <v>69</v>
      </c>
      <c r="B21" s="40">
        <f>B15</f>
      </c>
      <c r="C21" s="48">
        <f t="shared" si="10"/>
      </c>
      <c r="D21" s="49">
        <f>D15</f>
      </c>
      <c r="E21" s="48">
        <f t="shared" si="11"/>
      </c>
      <c r="F21" s="49">
        <f>F15</f>
      </c>
      <c r="G21" s="48">
        <f t="shared" si="12"/>
      </c>
      <c r="H21" s="49">
        <f t="shared" ref="H21:I21" si="13">H15</f>
      </c>
      <c r="I21" s="49">
        <f t="shared" si="13"/>
      </c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8" t="s">
        <v>70</v>
      </c>
      <c r="B22" s="50">
        <f>IF(B21&gt;=B20,"足りる","直す")</f>
      </c>
      <c r="C22" s="51" t="s">
        <v>71</v>
      </c>
      <c r="D22" s="52">
        <f>IF(D21&gt;=D20,"足りる","直す")</f>
      </c>
      <c r="E22" s="51" t="s">
        <v>71</v>
      </c>
      <c r="F22" s="52">
        <f>IF(F21&gt;=F20,"足りる","直す")</f>
      </c>
      <c r="G22" s="51" t="s">
        <v>71</v>
      </c>
      <c r="H22" s="52">
        <f t="shared" ref="H22:I22" si="14">IF(H21&gt;=H20,"足りる","直す")</f>
      </c>
      <c r="I22" s="52">
        <f t="shared" si="14"/>
      </c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</sheetData>
  <conditionalFormatting sqref="O9:O15">
    <cfRule type="cellIs" dxfId="0" priority="1" stopIfTrue="1" operator="equal">
      <formula>"上限超え"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63"/>
    <col customWidth="1" min="2" max="2" width="13.88"/>
    <col customWidth="1" min="3" max="14" width="7.38"/>
    <col customWidth="1" min="15" max="15" width="8.88"/>
  </cols>
  <sheetData>
    <row r="1">
      <c r="A1" s="1" t="s">
        <v>2</v>
      </c>
      <c r="B1" s="2"/>
      <c r="C1" s="2"/>
      <c r="D1" s="4" t="s">
        <v>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4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22</v>
      </c>
    </row>
    <row r="4">
      <c r="A4" s="7"/>
      <c r="B4" s="8" t="s">
        <v>28</v>
      </c>
      <c r="C4" s="15">
        <f>MONTH(EDATE('はじめに入力'!$A$5,0))&amp;"月"</f>
      </c>
      <c r="D4" s="15">
        <f>MONTH(EDATE('はじめに入力'!$A$5,1))&amp;"月"</f>
      </c>
      <c r="E4" s="15">
        <f>MONTH(EDATE('はじめに入力'!$A$5,2))&amp;"月"</f>
      </c>
      <c r="F4" s="15">
        <f>MONTH(EDATE('はじめに入力'!$A$5,3))&amp;"月"</f>
      </c>
      <c r="G4" s="15">
        <f>MONTH(EDATE('はじめに入力'!$A$5,4))&amp;"月"</f>
      </c>
      <c r="H4" s="15">
        <f>MONTH(EDATE('はじめに入力'!$A$5,5))&amp;"月"</f>
      </c>
      <c r="I4" s="15">
        <f>MONTH(EDATE('はじめに入力'!$A$5,6))&amp;"月"</f>
      </c>
      <c r="J4" s="15">
        <f>MONTH(EDATE('はじめに入力'!$A$5,7))&amp;"月"</f>
      </c>
      <c r="K4" s="15">
        <f>MONTH(EDATE('はじめに入力'!$A$5,8))&amp;"月"</f>
      </c>
      <c r="L4" s="15">
        <f>MONTH(EDATE('はじめに入力'!$A$5,9))&amp;"月"</f>
      </c>
      <c r="M4" s="15">
        <f>MONTH(EDATE('はじめに入力'!$A$5,10))&amp;"月"</f>
      </c>
      <c r="N4" s="15">
        <f>MONTH(EDATE('はじめに入力'!$A$5,11))&amp;"月"</f>
      </c>
      <c r="O4" s="23" t="s">
        <v>54</v>
      </c>
    </row>
    <row r="5">
      <c r="A5" s="24"/>
      <c r="B5" s="25" t="s">
        <v>38</v>
      </c>
      <c r="C5" s="21">
        <f t="shared" ref="C5:N5" si="1">C12+C18+C24+C30+C36+C42</f>
      </c>
      <c r="D5" s="21">
        <f t="shared" si="1"/>
      </c>
      <c r="E5" s="21">
        <f t="shared" si="1"/>
      </c>
      <c r="F5" s="21">
        <f t="shared" si="1"/>
      </c>
      <c r="G5" s="21">
        <f t="shared" si="1"/>
      </c>
      <c r="H5" s="21">
        <f t="shared" si="1"/>
      </c>
      <c r="I5" s="21">
        <f t="shared" si="1"/>
      </c>
      <c r="J5" s="21">
        <f t="shared" si="1"/>
      </c>
      <c r="K5" s="21">
        <f t="shared" si="1"/>
      </c>
      <c r="L5" s="21">
        <f t="shared" si="1"/>
      </c>
      <c r="M5" s="21">
        <f t="shared" si="1"/>
      </c>
      <c r="N5" s="21">
        <f t="shared" si="1"/>
      </c>
      <c r="O5" s="21">
        <f t="shared" ref="O5:O8" si="3">SUM(C5:N5)</f>
      </c>
    </row>
    <row r="6">
      <c r="A6" s="24"/>
      <c r="B6" s="25" t="s">
        <v>40</v>
      </c>
      <c r="C6" s="21">
        <f t="shared" ref="C6:N6" si="2">C13+C19+C25+C31+C37+C43</f>
      </c>
      <c r="D6" s="21">
        <f t="shared" si="2"/>
      </c>
      <c r="E6" s="21">
        <f t="shared" si="2"/>
      </c>
      <c r="F6" s="21">
        <f t="shared" si="2"/>
      </c>
      <c r="G6" s="21">
        <f t="shared" si="2"/>
      </c>
      <c r="H6" s="21">
        <f t="shared" si="2"/>
      </c>
      <c r="I6" s="21">
        <f t="shared" si="2"/>
      </c>
      <c r="J6" s="21">
        <f t="shared" si="2"/>
      </c>
      <c r="K6" s="21">
        <f t="shared" si="2"/>
      </c>
      <c r="L6" s="21">
        <f t="shared" si="2"/>
      </c>
      <c r="M6" s="21">
        <f t="shared" si="2"/>
      </c>
      <c r="N6" s="21">
        <f t="shared" si="2"/>
      </c>
      <c r="O6" s="21">
        <f t="shared" si="3"/>
      </c>
    </row>
    <row r="7">
      <c r="A7" s="24"/>
      <c r="B7" s="25" t="s">
        <v>46</v>
      </c>
      <c r="C7" s="30">
        <f t="shared" ref="C7:N7" si="4">C14+C20+C26+C32+C38+C44</f>
      </c>
      <c r="D7" s="30">
        <f t="shared" si="4"/>
      </c>
      <c r="E7" s="30">
        <f t="shared" si="4"/>
      </c>
      <c r="F7" s="30">
        <f t="shared" si="4"/>
      </c>
      <c r="G7" s="30">
        <f t="shared" si="4"/>
      </c>
      <c r="H7" s="30">
        <f t="shared" si="4"/>
      </c>
      <c r="I7" s="30">
        <f t="shared" si="4"/>
      </c>
      <c r="J7" s="30">
        <f t="shared" si="4"/>
      </c>
      <c r="K7" s="30">
        <f t="shared" si="4"/>
      </c>
      <c r="L7" s="30">
        <f t="shared" si="4"/>
      </c>
      <c r="M7" s="30">
        <f t="shared" si="4"/>
      </c>
      <c r="N7" s="30">
        <f t="shared" si="4"/>
      </c>
      <c r="O7" s="30">
        <f t="shared" si="3"/>
      </c>
    </row>
    <row r="8">
      <c r="A8" s="24"/>
      <c r="B8" s="25" t="s">
        <v>47</v>
      </c>
      <c r="C8" s="30">
        <f t="shared" ref="C8:N8" si="5">C15+C21+C27+C33+C39+C45</f>
      </c>
      <c r="D8" s="30">
        <f t="shared" si="5"/>
      </c>
      <c r="E8" s="30">
        <f t="shared" si="5"/>
      </c>
      <c r="F8" s="30">
        <f t="shared" si="5"/>
      </c>
      <c r="G8" s="30">
        <f t="shared" si="5"/>
      </c>
      <c r="H8" s="30">
        <f t="shared" si="5"/>
      </c>
      <c r="I8" s="30">
        <f t="shared" si="5"/>
      </c>
      <c r="J8" s="30">
        <f t="shared" si="5"/>
      </c>
      <c r="K8" s="30">
        <f t="shared" si="5"/>
      </c>
      <c r="L8" s="30">
        <f t="shared" si="5"/>
      </c>
      <c r="M8" s="30">
        <f t="shared" si="5"/>
      </c>
      <c r="N8" s="30">
        <f t="shared" si="5"/>
      </c>
      <c r="O8" s="30">
        <f t="shared" si="3"/>
      </c>
    </row>
    <row r="10">
      <c r="A10" s="3" t="s">
        <v>64</v>
      </c>
    </row>
    <row r="11">
      <c r="A11" s="8" t="s">
        <v>37</v>
      </c>
      <c r="B11" s="8" t="s">
        <v>5</v>
      </c>
      <c r="C11" s="15">
        <f t="shared" ref="C11:N11" si="6">C$4</f>
      </c>
      <c r="D11" s="15">
        <f t="shared" si="6"/>
      </c>
      <c r="E11" s="15">
        <f t="shared" si="6"/>
      </c>
      <c r="F11" s="15">
        <f t="shared" si="6"/>
      </c>
      <c r="G11" s="15">
        <f t="shared" si="6"/>
      </c>
      <c r="H11" s="15">
        <f t="shared" si="6"/>
      </c>
      <c r="I11" s="15">
        <f t="shared" si="6"/>
      </c>
      <c r="J11" s="15">
        <f t="shared" si="6"/>
      </c>
      <c r="K11" s="15">
        <f t="shared" si="6"/>
      </c>
      <c r="L11" s="15">
        <f t="shared" si="6"/>
      </c>
      <c r="M11" s="15">
        <f t="shared" si="6"/>
      </c>
      <c r="N11" s="15">
        <f t="shared" si="6"/>
      </c>
      <c r="O11" s="23" t="s">
        <v>54</v>
      </c>
    </row>
    <row r="12">
      <c r="A12" s="39" t="s">
        <v>5</v>
      </c>
      <c r="B12" s="18" t="s">
        <v>38</v>
      </c>
      <c r="C12" s="11"/>
      <c r="D12" s="11"/>
      <c r="E12" s="11"/>
      <c r="F12" s="11"/>
      <c r="G12" s="11"/>
      <c r="H12" s="11"/>
      <c r="I12" s="11"/>
      <c r="J12" s="41"/>
      <c r="K12" s="41"/>
      <c r="L12" s="41"/>
      <c r="M12" s="41"/>
      <c r="N12" s="41"/>
      <c r="O12" s="21">
        <f t="shared" ref="O12:O15" si="7">SUM(C12:N12)</f>
      </c>
    </row>
    <row r="13">
      <c r="A13" s="43"/>
      <c r="B13" s="18" t="s">
        <v>40</v>
      </c>
      <c r="C13" s="11"/>
      <c r="D13" s="11"/>
      <c r="E13" s="11"/>
      <c r="F13" s="11"/>
      <c r="G13" s="11"/>
      <c r="H13" s="11"/>
      <c r="I13" s="11"/>
      <c r="J13" s="41"/>
      <c r="K13" s="41"/>
      <c r="L13" s="41"/>
      <c r="M13" s="41"/>
      <c r="N13" s="41"/>
      <c r="O13" s="21">
        <f t="shared" si="7"/>
      </c>
    </row>
    <row r="14">
      <c r="A14" s="43"/>
      <c r="B14" s="18" t="s">
        <v>46</v>
      </c>
      <c r="C14" s="44"/>
      <c r="D14" s="44"/>
      <c r="E14" s="44"/>
      <c r="F14" s="44"/>
      <c r="G14" s="44"/>
      <c r="H14" s="44"/>
      <c r="I14" s="44"/>
      <c r="J14" s="45"/>
      <c r="K14" s="45"/>
      <c r="L14" s="45"/>
      <c r="M14" s="45"/>
      <c r="N14" s="45"/>
      <c r="O14" s="30">
        <f t="shared" si="7"/>
      </c>
    </row>
    <row r="15">
      <c r="A15" s="46"/>
      <c r="B15" s="18" t="s">
        <v>47</v>
      </c>
      <c r="C15" s="30">
        <f>'展示会'!B10</f>
      </c>
      <c r="D15" s="30">
        <f>'展示会'!C10</f>
      </c>
      <c r="E15" s="30">
        <f>'展示会'!D10</f>
      </c>
      <c r="F15" s="30">
        <f>'展示会'!E10</f>
      </c>
      <c r="G15" s="30">
        <f>'展示会'!F10</f>
      </c>
      <c r="H15" s="30">
        <f>'展示会'!G10</f>
      </c>
      <c r="I15" s="30">
        <f>'展示会'!H10</f>
      </c>
      <c r="J15" s="30">
        <f>'展示会'!I10</f>
      </c>
      <c r="K15" s="30">
        <f>'展示会'!J10</f>
      </c>
      <c r="L15" s="30">
        <f>'展示会'!K10</f>
      </c>
      <c r="M15" s="30">
        <f>'展示会'!L10</f>
      </c>
      <c r="N15" s="30">
        <f>'展示会'!M10</f>
      </c>
      <c r="O15" s="30">
        <f t="shared" si="7"/>
      </c>
    </row>
    <row r="17">
      <c r="A17" s="8" t="s">
        <v>37</v>
      </c>
      <c r="B17" s="8" t="s">
        <v>53</v>
      </c>
      <c r="C17" s="15">
        <f t="shared" ref="C17:N17" si="8">C$4</f>
      </c>
      <c r="D17" s="15">
        <f t="shared" si="8"/>
      </c>
      <c r="E17" s="15">
        <f t="shared" si="8"/>
      </c>
      <c r="F17" s="15">
        <f t="shared" si="8"/>
      </c>
      <c r="G17" s="15">
        <f t="shared" si="8"/>
      </c>
      <c r="H17" s="15">
        <f t="shared" si="8"/>
      </c>
      <c r="I17" s="15">
        <f t="shared" si="8"/>
      </c>
      <c r="J17" s="15">
        <f t="shared" si="8"/>
      </c>
      <c r="K17" s="15">
        <f t="shared" si="8"/>
      </c>
      <c r="L17" s="15">
        <f t="shared" si="8"/>
      </c>
      <c r="M17" s="15">
        <f t="shared" si="8"/>
      </c>
      <c r="N17" s="15">
        <f t="shared" si="8"/>
      </c>
      <c r="O17" s="23" t="s">
        <v>54</v>
      </c>
    </row>
    <row r="18">
      <c r="A18" s="39" t="s">
        <v>53</v>
      </c>
      <c r="B18" s="18" t="s">
        <v>38</v>
      </c>
      <c r="C18" s="11"/>
      <c r="D18" s="11"/>
      <c r="E18" s="11"/>
      <c r="F18" s="11"/>
      <c r="G18" s="11"/>
      <c r="H18" s="11"/>
      <c r="I18" s="11"/>
      <c r="J18" s="41"/>
      <c r="K18" s="41"/>
      <c r="L18" s="41"/>
      <c r="M18" s="41"/>
      <c r="N18" s="41"/>
      <c r="O18" s="21">
        <f t="shared" ref="O18:O21" si="9">SUM(C18:N18)</f>
      </c>
    </row>
    <row r="19">
      <c r="A19" s="43"/>
      <c r="B19" s="18" t="s">
        <v>40</v>
      </c>
      <c r="C19" s="11"/>
      <c r="D19" s="11"/>
      <c r="E19" s="11"/>
      <c r="F19" s="11"/>
      <c r="G19" s="11"/>
      <c r="H19" s="11"/>
      <c r="I19" s="11"/>
      <c r="J19" s="41"/>
      <c r="K19" s="41"/>
      <c r="L19" s="41"/>
      <c r="M19" s="41"/>
      <c r="N19" s="41"/>
      <c r="O19" s="21">
        <f t="shared" si="9"/>
      </c>
    </row>
    <row r="20">
      <c r="A20" s="43"/>
      <c r="B20" s="18" t="s">
        <v>46</v>
      </c>
      <c r="C20" s="44"/>
      <c r="D20" s="44"/>
      <c r="E20" s="44"/>
      <c r="F20" s="44"/>
      <c r="G20" s="44"/>
      <c r="H20" s="44"/>
      <c r="I20" s="44"/>
      <c r="J20" s="45"/>
      <c r="K20" s="45"/>
      <c r="L20" s="45"/>
      <c r="M20" s="45"/>
      <c r="N20" s="45"/>
      <c r="O20" s="30">
        <f t="shared" si="9"/>
      </c>
    </row>
    <row r="21">
      <c r="A21" s="46"/>
      <c r="B21" s="18" t="s">
        <v>47</v>
      </c>
      <c r="C21" s="30">
        <f>'セミナー'!B10</f>
      </c>
      <c r="D21" s="30">
        <f>'セミナー'!C10</f>
      </c>
      <c r="E21" s="30">
        <f>'セミナー'!D10</f>
      </c>
      <c r="F21" s="30">
        <f>'セミナー'!E10</f>
      </c>
      <c r="G21" s="30">
        <f>'セミナー'!F10</f>
      </c>
      <c r="H21" s="30">
        <f>'セミナー'!G10</f>
      </c>
      <c r="I21" s="30">
        <f>'セミナー'!H10</f>
      </c>
      <c r="J21" s="30">
        <f>'セミナー'!I10</f>
      </c>
      <c r="K21" s="30">
        <f>'セミナー'!J10</f>
      </c>
      <c r="L21" s="30">
        <f>'セミナー'!K10</f>
      </c>
      <c r="M21" s="30">
        <f>'セミナー'!L10</f>
      </c>
      <c r="N21" s="30">
        <f>'セミナー'!M10</f>
      </c>
      <c r="O21" s="30">
        <f t="shared" si="9"/>
      </c>
    </row>
    <row r="23">
      <c r="A23" s="8" t="s">
        <v>37</v>
      </c>
      <c r="B23" s="8" t="s">
        <v>55</v>
      </c>
      <c r="C23" s="15">
        <f t="shared" ref="C23:N23" si="10">C$4</f>
      </c>
      <c r="D23" s="15">
        <f t="shared" si="10"/>
      </c>
      <c r="E23" s="15">
        <f t="shared" si="10"/>
      </c>
      <c r="F23" s="15">
        <f t="shared" si="10"/>
      </c>
      <c r="G23" s="15">
        <f t="shared" si="10"/>
      </c>
      <c r="H23" s="15">
        <f t="shared" si="10"/>
      </c>
      <c r="I23" s="15">
        <f t="shared" si="10"/>
      </c>
      <c r="J23" s="15">
        <f t="shared" si="10"/>
      </c>
      <c r="K23" s="15">
        <f t="shared" si="10"/>
      </c>
      <c r="L23" s="15">
        <f t="shared" si="10"/>
      </c>
      <c r="M23" s="15">
        <f t="shared" si="10"/>
      </c>
      <c r="N23" s="15">
        <f t="shared" si="10"/>
      </c>
      <c r="O23" s="23" t="s">
        <v>54</v>
      </c>
    </row>
    <row r="24">
      <c r="A24" s="39" t="s">
        <v>55</v>
      </c>
      <c r="B24" s="18" t="s">
        <v>38</v>
      </c>
      <c r="C24" s="11"/>
      <c r="D24" s="11"/>
      <c r="E24" s="11"/>
      <c r="F24" s="11"/>
      <c r="G24" s="11"/>
      <c r="H24" s="11"/>
      <c r="I24" s="11"/>
      <c r="J24" s="41"/>
      <c r="K24" s="41"/>
      <c r="L24" s="41"/>
      <c r="M24" s="41"/>
      <c r="N24" s="41"/>
      <c r="O24" s="21">
        <f t="shared" ref="O24:O27" si="11">SUM(C24:N24)</f>
      </c>
    </row>
    <row r="25">
      <c r="A25" s="43"/>
      <c r="B25" s="18" t="s">
        <v>40</v>
      </c>
      <c r="C25" s="11"/>
      <c r="D25" s="11"/>
      <c r="E25" s="11"/>
      <c r="F25" s="11"/>
      <c r="G25" s="11"/>
      <c r="H25" s="11"/>
      <c r="I25" s="11"/>
      <c r="J25" s="41"/>
      <c r="K25" s="41"/>
      <c r="L25" s="41"/>
      <c r="M25" s="41"/>
      <c r="N25" s="41"/>
      <c r="O25" s="21">
        <f t="shared" si="11"/>
      </c>
    </row>
    <row r="26">
      <c r="A26" s="43"/>
      <c r="B26" s="18" t="s">
        <v>46</v>
      </c>
      <c r="C26" s="44"/>
      <c r="D26" s="44"/>
      <c r="E26" s="44"/>
      <c r="F26" s="44"/>
      <c r="G26" s="44"/>
      <c r="H26" s="44"/>
      <c r="I26" s="44"/>
      <c r="J26" s="45"/>
      <c r="K26" s="45"/>
      <c r="L26" s="45"/>
      <c r="M26" s="45"/>
      <c r="N26" s="45"/>
      <c r="O26" s="30">
        <f t="shared" si="11"/>
      </c>
    </row>
    <row r="27">
      <c r="A27" s="46"/>
      <c r="B27" s="18" t="s">
        <v>47</v>
      </c>
      <c r="C27" s="30">
        <f>'Web広告'!B10</f>
      </c>
      <c r="D27" s="30">
        <f>'Web広告'!C10</f>
      </c>
      <c r="E27" s="30">
        <f>'Web広告'!D10</f>
      </c>
      <c r="F27" s="30">
        <f>'Web広告'!E10</f>
      </c>
      <c r="G27" s="30">
        <f>'Web広告'!F10</f>
      </c>
      <c r="H27" s="30">
        <f>'Web広告'!G10</f>
      </c>
      <c r="I27" s="30">
        <f>'Web広告'!H10</f>
      </c>
      <c r="J27" s="30">
        <f>'Web広告'!I10</f>
      </c>
      <c r="K27" s="30">
        <f>'Web広告'!J10</f>
      </c>
      <c r="L27" s="30">
        <f>'Web広告'!K10</f>
      </c>
      <c r="M27" s="30">
        <f>'Web広告'!L10</f>
      </c>
      <c r="N27" s="30">
        <f>'Web広告'!M10</f>
      </c>
      <c r="O27" s="30">
        <f t="shared" si="11"/>
      </c>
    </row>
    <row r="29">
      <c r="A29" s="8" t="s">
        <v>37</v>
      </c>
      <c r="B29" s="8" t="s">
        <v>57</v>
      </c>
      <c r="C29" s="15">
        <f t="shared" ref="C29:N29" si="12">C$4</f>
      </c>
      <c r="D29" s="15">
        <f t="shared" si="12"/>
      </c>
      <c r="E29" s="15">
        <f t="shared" si="12"/>
      </c>
      <c r="F29" s="15">
        <f t="shared" si="12"/>
      </c>
      <c r="G29" s="15">
        <f t="shared" si="12"/>
      </c>
      <c r="H29" s="15">
        <f t="shared" si="12"/>
      </c>
      <c r="I29" s="15">
        <f t="shared" si="12"/>
      </c>
      <c r="J29" s="15">
        <f t="shared" si="12"/>
      </c>
      <c r="K29" s="15">
        <f t="shared" si="12"/>
      </c>
      <c r="L29" s="15">
        <f t="shared" si="12"/>
      </c>
      <c r="M29" s="15">
        <f t="shared" si="12"/>
      </c>
      <c r="N29" s="15">
        <f t="shared" si="12"/>
      </c>
      <c r="O29" s="23" t="s">
        <v>54</v>
      </c>
    </row>
    <row r="30">
      <c r="A30" s="39" t="s">
        <v>57</v>
      </c>
      <c r="B30" s="18" t="s">
        <v>38</v>
      </c>
      <c r="C30" s="11"/>
      <c r="D30" s="11"/>
      <c r="E30" s="11"/>
      <c r="F30" s="11"/>
      <c r="G30" s="11"/>
      <c r="H30" s="11"/>
      <c r="I30" s="11"/>
      <c r="J30" s="41"/>
      <c r="K30" s="41"/>
      <c r="L30" s="41"/>
      <c r="M30" s="41"/>
      <c r="N30" s="41"/>
      <c r="O30" s="21">
        <f t="shared" ref="O30:O33" si="13">SUM(C30:N30)</f>
      </c>
    </row>
    <row r="31">
      <c r="A31" s="43"/>
      <c r="B31" s="18" t="s">
        <v>40</v>
      </c>
      <c r="C31" s="11"/>
      <c r="D31" s="11"/>
      <c r="E31" s="11"/>
      <c r="F31" s="11"/>
      <c r="G31" s="11"/>
      <c r="H31" s="11"/>
      <c r="I31" s="11"/>
      <c r="J31" s="41"/>
      <c r="K31" s="41"/>
      <c r="L31" s="41"/>
      <c r="M31" s="41"/>
      <c r="N31" s="41"/>
      <c r="O31" s="21">
        <f t="shared" si="13"/>
      </c>
    </row>
    <row r="32">
      <c r="A32" s="43"/>
      <c r="B32" s="18" t="s">
        <v>46</v>
      </c>
      <c r="C32" s="44"/>
      <c r="D32" s="44"/>
      <c r="E32" s="44"/>
      <c r="F32" s="44"/>
      <c r="G32" s="44"/>
      <c r="H32" s="44"/>
      <c r="I32" s="44"/>
      <c r="J32" s="45"/>
      <c r="K32" s="45"/>
      <c r="L32" s="45"/>
      <c r="M32" s="45"/>
      <c r="N32" s="45"/>
      <c r="O32" s="30">
        <f t="shared" si="13"/>
      </c>
    </row>
    <row r="33">
      <c r="A33" s="46"/>
      <c r="B33" s="18" t="s">
        <v>47</v>
      </c>
      <c r="C33" s="30">
        <f>'自社サイト'!B10</f>
      </c>
      <c r="D33" s="30">
        <f>'自社サイト'!C10</f>
      </c>
      <c r="E33" s="30">
        <f>'自社サイト'!D10</f>
      </c>
      <c r="F33" s="30">
        <f>'自社サイト'!E10</f>
      </c>
      <c r="G33" s="30">
        <f>'自社サイト'!F10</f>
      </c>
      <c r="H33" s="30">
        <f>'自社サイト'!G10</f>
      </c>
      <c r="I33" s="30">
        <f>'自社サイト'!H10</f>
      </c>
      <c r="J33" s="30">
        <f>'自社サイト'!I10</f>
      </c>
      <c r="K33" s="30">
        <f>'自社サイト'!J10</f>
      </c>
      <c r="L33" s="30">
        <f>'自社サイト'!K10</f>
      </c>
      <c r="M33" s="30">
        <f>'自社サイト'!L10</f>
      </c>
      <c r="N33" s="30">
        <f>'自社サイト'!M10</f>
      </c>
      <c r="O33" s="30">
        <f t="shared" si="13"/>
      </c>
    </row>
    <row r="35">
      <c r="A35" s="8" t="s">
        <v>37</v>
      </c>
      <c r="B35" s="8" t="s">
        <v>58</v>
      </c>
      <c r="C35" s="15">
        <f t="shared" ref="C35:N35" si="14">C$4</f>
      </c>
      <c r="D35" s="15">
        <f t="shared" si="14"/>
      </c>
      <c r="E35" s="15">
        <f t="shared" si="14"/>
      </c>
      <c r="F35" s="15">
        <f t="shared" si="14"/>
      </c>
      <c r="G35" s="15">
        <f t="shared" si="14"/>
      </c>
      <c r="H35" s="15">
        <f t="shared" si="14"/>
      </c>
      <c r="I35" s="15">
        <f t="shared" si="14"/>
      </c>
      <c r="J35" s="15">
        <f t="shared" si="14"/>
      </c>
      <c r="K35" s="15">
        <f t="shared" si="14"/>
      </c>
      <c r="L35" s="15">
        <f t="shared" si="14"/>
      </c>
      <c r="M35" s="15">
        <f t="shared" si="14"/>
      </c>
      <c r="N35" s="15">
        <f t="shared" si="14"/>
      </c>
      <c r="O35" s="23" t="s">
        <v>54</v>
      </c>
    </row>
    <row r="36">
      <c r="A36" s="39" t="s">
        <v>58</v>
      </c>
      <c r="B36" s="18" t="s">
        <v>38</v>
      </c>
      <c r="C36" s="11"/>
      <c r="D36" s="11"/>
      <c r="E36" s="11"/>
      <c r="F36" s="11"/>
      <c r="G36" s="11"/>
      <c r="H36" s="11"/>
      <c r="I36" s="11"/>
      <c r="J36" s="41"/>
      <c r="K36" s="41"/>
      <c r="L36" s="41"/>
      <c r="M36" s="41"/>
      <c r="N36" s="41"/>
      <c r="O36" s="21">
        <f t="shared" ref="O36:O39" si="15">SUM(C36:N36)</f>
      </c>
    </row>
    <row r="37">
      <c r="A37" s="43"/>
      <c r="B37" s="18" t="s">
        <v>40</v>
      </c>
      <c r="C37" s="11"/>
      <c r="D37" s="11"/>
      <c r="E37" s="11"/>
      <c r="F37" s="11"/>
      <c r="G37" s="11"/>
      <c r="H37" s="11"/>
      <c r="I37" s="11"/>
      <c r="J37" s="41"/>
      <c r="K37" s="41"/>
      <c r="L37" s="41"/>
      <c r="M37" s="41"/>
      <c r="N37" s="41"/>
      <c r="O37" s="21">
        <f t="shared" si="15"/>
      </c>
    </row>
    <row r="38">
      <c r="A38" s="43"/>
      <c r="B38" s="18" t="s">
        <v>46</v>
      </c>
      <c r="C38" s="44"/>
      <c r="D38" s="44"/>
      <c r="E38" s="44"/>
      <c r="F38" s="44"/>
      <c r="G38" s="44"/>
      <c r="H38" s="44"/>
      <c r="I38" s="44"/>
      <c r="J38" s="45"/>
      <c r="K38" s="45"/>
      <c r="L38" s="45"/>
      <c r="M38" s="45"/>
      <c r="N38" s="45"/>
      <c r="O38" s="30">
        <f t="shared" si="15"/>
      </c>
    </row>
    <row r="39">
      <c r="A39" s="46"/>
      <c r="B39" s="18" t="s">
        <v>47</v>
      </c>
      <c r="C39" s="30">
        <f>SNS!B10</f>
      </c>
      <c r="D39" s="30">
        <f>SNS!C10</f>
      </c>
      <c r="E39" s="30">
        <f>SNS!D10</f>
      </c>
      <c r="F39" s="30">
        <f>SNS!E10</f>
      </c>
      <c r="G39" s="30">
        <f>SNS!F10</f>
      </c>
      <c r="H39" s="30">
        <f>SNS!G10</f>
      </c>
      <c r="I39" s="30">
        <f>SNS!H10</f>
      </c>
      <c r="J39" s="30">
        <f>SNS!I10</f>
      </c>
      <c r="K39" s="30">
        <f>SNS!J10</f>
      </c>
      <c r="L39" s="30">
        <f>SNS!K10</f>
      </c>
      <c r="M39" s="30">
        <f>SNS!L10</f>
      </c>
      <c r="N39" s="30">
        <f>SNS!M10</f>
      </c>
      <c r="O39" s="30">
        <f t="shared" si="15"/>
      </c>
    </row>
    <row r="41">
      <c r="A41" s="8" t="s">
        <v>37</v>
      </c>
      <c r="B41" s="8" t="s">
        <v>59</v>
      </c>
      <c r="C41" s="15">
        <f t="shared" ref="C41:N41" si="16">C$4</f>
      </c>
      <c r="D41" s="15">
        <f t="shared" si="16"/>
      </c>
      <c r="E41" s="15">
        <f t="shared" si="16"/>
      </c>
      <c r="F41" s="15">
        <f t="shared" si="16"/>
      </c>
      <c r="G41" s="15">
        <f t="shared" si="16"/>
      </c>
      <c r="H41" s="15">
        <f t="shared" si="16"/>
      </c>
      <c r="I41" s="15">
        <f t="shared" si="16"/>
      </c>
      <c r="J41" s="15">
        <f t="shared" si="16"/>
      </c>
      <c r="K41" s="15">
        <f t="shared" si="16"/>
      </c>
      <c r="L41" s="15">
        <f t="shared" si="16"/>
      </c>
      <c r="M41" s="15">
        <f t="shared" si="16"/>
      </c>
      <c r="N41" s="15">
        <f t="shared" si="16"/>
      </c>
      <c r="O41" s="23" t="s">
        <v>54</v>
      </c>
    </row>
    <row r="42">
      <c r="A42" s="39" t="s">
        <v>59</v>
      </c>
      <c r="B42" s="18" t="s">
        <v>38</v>
      </c>
      <c r="C42" s="11"/>
      <c r="D42" s="11"/>
      <c r="E42" s="11"/>
      <c r="F42" s="11"/>
      <c r="G42" s="11"/>
      <c r="H42" s="11"/>
      <c r="I42" s="11"/>
      <c r="J42" s="41"/>
      <c r="K42" s="41"/>
      <c r="L42" s="41"/>
      <c r="M42" s="41"/>
      <c r="N42" s="41"/>
      <c r="O42" s="21">
        <f t="shared" ref="O42:O45" si="17">SUM(C42:N42)</f>
      </c>
    </row>
    <row r="43">
      <c r="A43" s="43"/>
      <c r="B43" s="18" t="s">
        <v>40</v>
      </c>
      <c r="C43" s="11"/>
      <c r="D43" s="11"/>
      <c r="E43" s="11"/>
      <c r="F43" s="11"/>
      <c r="G43" s="11"/>
      <c r="H43" s="11"/>
      <c r="I43" s="11"/>
      <c r="J43" s="41"/>
      <c r="K43" s="41"/>
      <c r="L43" s="41"/>
      <c r="M43" s="41"/>
      <c r="N43" s="41"/>
      <c r="O43" s="21">
        <f t="shared" si="17"/>
      </c>
    </row>
    <row r="44">
      <c r="A44" s="43"/>
      <c r="B44" s="18" t="s">
        <v>46</v>
      </c>
      <c r="C44" s="44"/>
      <c r="D44" s="44"/>
      <c r="E44" s="44"/>
      <c r="F44" s="44"/>
      <c r="G44" s="44"/>
      <c r="H44" s="44"/>
      <c r="I44" s="44"/>
      <c r="J44" s="45"/>
      <c r="K44" s="45"/>
      <c r="L44" s="45"/>
      <c r="M44" s="45"/>
      <c r="N44" s="45"/>
      <c r="O44" s="30">
        <f t="shared" si="17"/>
      </c>
    </row>
    <row r="45">
      <c r="A45" s="46"/>
      <c r="B45" s="18" t="s">
        <v>47</v>
      </c>
      <c r="C45" s="30">
        <f>'メール'!B10</f>
      </c>
      <c r="D45" s="30">
        <f>'メール'!C10</f>
      </c>
      <c r="E45" s="30">
        <f>'メール'!D10</f>
      </c>
      <c r="F45" s="30">
        <f>'メール'!E10</f>
      </c>
      <c r="G45" s="30">
        <f>'メール'!F10</f>
      </c>
      <c r="H45" s="30">
        <f>'メール'!G10</f>
      </c>
      <c r="I45" s="30">
        <f>'メール'!H10</f>
      </c>
      <c r="J45" s="30">
        <f>'メール'!I10</f>
      </c>
      <c r="K45" s="30">
        <f>'メール'!J10</f>
      </c>
      <c r="L45" s="30">
        <f>'メール'!K10</f>
      </c>
      <c r="M45" s="30">
        <f>'メール'!L10</f>
      </c>
      <c r="N45" s="30">
        <f>'メール'!M10</f>
      </c>
      <c r="O45" s="30">
        <f t="shared" si="17"/>
      </c>
    </row>
  </sheetData>
  <mergeCells count="6">
    <mergeCell ref="A12:A15"/>
    <mergeCell ref="A18:A21"/>
    <mergeCell ref="A24:A27"/>
    <mergeCell ref="A30:A33"/>
    <mergeCell ref="A36:A39"/>
    <mergeCell ref="A42:A4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2" max="13" width="7.13"/>
    <col customWidth="1" min="14" max="14" width="8.13"/>
    <col customWidth="1" min="15" max="15" width="11.38"/>
  </cols>
  <sheetData>
    <row r="1">
      <c r="A1" s="1" t="s">
        <v>5</v>
      </c>
      <c r="D1" s="4" t="s">
        <v>4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18</v>
      </c>
      <c r="B2" s="10">
        <f t="array" ref="B2">IF(B3="","計画なし",INDEX($B$6:$M$6,B3))</f>
      </c>
      <c r="C2" s="3" t="s">
        <v>34</v>
      </c>
      <c r="D2" s="10">
        <f t="array" ref="D2">IF(D3="","",IF(D3&gt;12,"今期は判定なし",INDEX($B$6:$M$6,D3)))</f>
      </c>
      <c r="E2" s="3" t="s">
        <v>32</v>
      </c>
      <c r="F2" s="17">
        <f>'はじめに入力'!$I$5</f>
      </c>
    </row>
    <row r="3" hidden="1">
      <c r="A3" s="5" t="s">
        <v>35</v>
      </c>
      <c r="B3" s="10">
        <f t="array" ref="B3">IFERROR(MATCH(TRUE,INDEX($B$7:$M$7&gt;0,0),0),"")</f>
      </c>
      <c r="D3" s="10">
        <f>IF(B3="","",B3+6)</f>
      </c>
      <c r="F3" s="10">
        <f>MATCH($A$1,'はじめに入力'!$A$9:$A$14,0)</f>
      </c>
    </row>
    <row r="4">
      <c r="A4" s="3" t="s">
        <v>51</v>
      </c>
    </row>
    <row r="5">
      <c r="B5" s="19" t="s">
        <v>52</v>
      </c>
    </row>
    <row r="6">
      <c r="A6" s="8" t="s">
        <v>28</v>
      </c>
      <c r="B6" s="15">
        <f>MONTH(EDATE('はじめに入力'!$A$5,0))&amp;"月"</f>
      </c>
      <c r="C6" s="15">
        <f>MONTH(EDATE('はじめに入力'!$A$5,1))&amp;"月"</f>
      </c>
      <c r="D6" s="15">
        <f>MONTH(EDATE('はじめに入力'!$A$5,2))&amp;"月"</f>
      </c>
      <c r="E6" s="15">
        <f>MONTH(EDATE('はじめに入力'!$A$5,3))&amp;"月"</f>
      </c>
      <c r="F6" s="15">
        <f>MONTH(EDATE('はじめに入力'!$A$5,4))&amp;"月"</f>
      </c>
      <c r="G6" s="15">
        <f>MONTH(EDATE('はじめに入力'!$A$5,5))&amp;"月"</f>
      </c>
      <c r="H6" s="15">
        <f>MONTH(EDATE('はじめに入力'!$A$5,6))&amp;"月"</f>
      </c>
      <c r="I6" s="15">
        <f>MONTH(EDATE('はじめに入力'!$A$5,7))&amp;"月"</f>
      </c>
      <c r="J6" s="15">
        <f>MONTH(EDATE('はじめに入力'!$A$5,8))&amp;"月"</f>
      </c>
      <c r="K6" s="15">
        <f>MONTH(EDATE('はじめに入力'!$A$5,9))&amp;"月"</f>
      </c>
      <c r="L6" s="15">
        <f>MONTH(EDATE('はじめに入力'!$A$5,10))&amp;"月"</f>
      </c>
      <c r="M6" s="15">
        <f>MONTH(EDATE('はじめに入力'!$A$5,11))&amp;"月"</f>
      </c>
      <c r="N6" s="23" t="s">
        <v>54</v>
      </c>
      <c r="O6" s="23" t="s">
        <v>56</v>
      </c>
    </row>
    <row r="7">
      <c r="A7" s="18" t="s">
        <v>38</v>
      </c>
      <c r="B7" s="11">
        <v>0.0</v>
      </c>
      <c r="C7" s="11">
        <v>0.0</v>
      </c>
      <c r="D7" s="11">
        <v>110.0</v>
      </c>
      <c r="E7" s="11">
        <v>0.0</v>
      </c>
      <c r="F7" s="11">
        <v>0.0</v>
      </c>
      <c r="G7" s="11">
        <v>0.0</v>
      </c>
      <c r="H7" s="11">
        <v>0.0</v>
      </c>
      <c r="I7" s="11">
        <v>110.0</v>
      </c>
      <c r="J7" s="11">
        <v>0.0</v>
      </c>
      <c r="K7" s="11">
        <v>0.0</v>
      </c>
      <c r="L7" s="11">
        <v>0.0</v>
      </c>
      <c r="M7" s="11">
        <v>0.0</v>
      </c>
      <c r="N7" s="21">
        <f t="shared" ref="N7:N10" si="1">SUM(B7:M7)</f>
      </c>
      <c r="O7" s="26">
        <f t="array" ref="O7">IF(N7=INDEX('はじめに入力'!$B$9:$B$14,$F$3),"一致","確認")</f>
      </c>
    </row>
    <row r="8">
      <c r="A8" s="18" t="s">
        <v>40</v>
      </c>
      <c r="B8" s="11">
        <v>0.0</v>
      </c>
      <c r="C8" s="11">
        <v>0.0</v>
      </c>
      <c r="D8" s="11">
        <v>27.0</v>
      </c>
      <c r="E8" s="11">
        <v>0.0</v>
      </c>
      <c r="F8" s="11">
        <v>0.0</v>
      </c>
      <c r="G8" s="11">
        <v>0.0</v>
      </c>
      <c r="H8" s="11">
        <v>0.0</v>
      </c>
      <c r="I8" s="11">
        <v>28.0</v>
      </c>
      <c r="J8" s="11">
        <v>0.0</v>
      </c>
      <c r="K8" s="11">
        <v>0.0</v>
      </c>
      <c r="L8" s="11">
        <v>0.0</v>
      </c>
      <c r="M8" s="11">
        <v>0.0</v>
      </c>
      <c r="N8" s="21">
        <f t="shared" si="1"/>
      </c>
      <c r="O8" s="26">
        <f t="array" ref="O8">IF(N8=INDEX('はじめに入力'!$D$9:$D$14,$F$3),"一致","確認")</f>
      </c>
    </row>
    <row r="9">
      <c r="A9" s="18" t="s">
        <v>46</v>
      </c>
      <c r="B9" s="27">
        <f t="array" ref="B9">INDEX('はじめに入力'!$J$9:$J$14,$F$3)/12</f>
      </c>
      <c r="C9" s="27">
        <f t="array" ref="C9">INDEX('はじめに入力'!$J$9:$J$14,$F$3)/12</f>
      </c>
      <c r="D9" s="27">
        <f t="array" ref="D9">INDEX('はじめに入力'!$J$9:$J$14,$F$3)/12</f>
      </c>
      <c r="E9" s="27">
        <f t="array" ref="E9">INDEX('はじめに入力'!$J$9:$J$14,$F$3)/12</f>
      </c>
      <c r="F9" s="27">
        <f t="array" ref="F9">INDEX('はじめに入力'!$J$9:$J$14,$F$3)/12</f>
      </c>
      <c r="G9" s="27">
        <f t="array" ref="G9">INDEX('はじめに入力'!$J$9:$J$14,$F$3)/12</f>
      </c>
      <c r="H9" s="27">
        <f t="array" ref="H9">INDEX('はじめに入力'!$J$9:$J$14,$F$3)/12</f>
      </c>
      <c r="I9" s="27">
        <f t="array" ref="I9">INDEX('はじめに入力'!$J$9:$J$14,$F$3)/12</f>
      </c>
      <c r="J9" s="27">
        <f t="array" ref="J9">INDEX('はじめに入力'!$J$9:$J$14,$F$3)/12</f>
      </c>
      <c r="K9" s="27">
        <f t="array" ref="K9">INDEX('はじめに入力'!$J$9:$J$14,$F$3)/12</f>
      </c>
      <c r="L9" s="27">
        <f t="array" ref="L9">INDEX('はじめに入力'!$J$9:$J$14,$F$3)/12</f>
      </c>
      <c r="M9" s="27">
        <f t="array" ref="M9">INDEX('はじめに入力'!$J$9:$J$14,$F$3)/12</f>
      </c>
      <c r="N9" s="30">
        <f t="shared" si="1"/>
      </c>
      <c r="O9" s="26">
        <f t="array" ref="O9">IF(ROUND(N9,1)=ROUND(INDEX('はじめに入力'!$J$9:$J$14,$F$3),1),"一致","確認")</f>
      </c>
    </row>
    <row r="10">
      <c r="A10" s="18" t="s">
        <v>47</v>
      </c>
      <c r="B10" s="30">
        <f t="array" ref="B10">INDEX('はじめに入力'!$K$9:$K$14,$F$3)/12</f>
      </c>
      <c r="C10" s="30">
        <f t="array" ref="C10">INDEX('はじめに入力'!$K$9:$K$14,$F$3)/12</f>
      </c>
      <c r="D10" s="30">
        <f t="array" ref="D10">INDEX('はじめに入力'!$K$9:$K$14,$F$3)/12</f>
      </c>
      <c r="E10" s="30">
        <f t="array" ref="E10">INDEX('はじめに入力'!$K$9:$K$14,$F$3)/12</f>
      </c>
      <c r="F10" s="30">
        <f t="array" ref="F10">INDEX('はじめに入力'!$K$9:$K$14,$F$3)/12</f>
      </c>
      <c r="G10" s="30">
        <f t="array" ref="G10">INDEX('はじめに入力'!$K$9:$K$14,$F$3)/12</f>
      </c>
      <c r="H10" s="30">
        <f t="array" ref="H10">INDEX('はじめに入力'!$K$9:$K$14,$F$3)/12</f>
      </c>
      <c r="I10" s="30">
        <f t="array" ref="I10">INDEX('はじめに入力'!$K$9:$K$14,$F$3)/12</f>
      </c>
      <c r="J10" s="30">
        <f t="array" ref="J10">INDEX('はじめに入力'!$K$9:$K$14,$F$3)/12</f>
      </c>
      <c r="K10" s="30">
        <f t="array" ref="K10">INDEX('はじめに入力'!$K$9:$K$14,$F$3)/12</f>
      </c>
      <c r="L10" s="30">
        <f t="array" ref="L10">INDEX('はじめに入力'!$K$9:$K$14,$F$3)/12</f>
      </c>
      <c r="M10" s="30">
        <f t="array" ref="M10">INDEX('はじめに入力'!$K$9:$K$14,$F$3)/12</f>
      </c>
      <c r="N10" s="30">
        <f t="shared" si="1"/>
      </c>
      <c r="O10" s="24"/>
    </row>
    <row r="12">
      <c r="A12" s="3" t="s">
        <v>68</v>
      </c>
    </row>
    <row r="13">
      <c r="A13" s="47" t="s">
        <v>28</v>
      </c>
      <c r="B13" s="15">
        <f t="shared" ref="B13:M13" si="2">B$6</f>
      </c>
      <c r="C13" s="15">
        <f t="shared" si="2"/>
      </c>
      <c r="D13" s="15">
        <f t="shared" si="2"/>
      </c>
      <c r="E13" s="15">
        <f t="shared" si="2"/>
      </c>
      <c r="F13" s="15">
        <f t="shared" si="2"/>
      </c>
      <c r="G13" s="15">
        <f t="shared" si="2"/>
      </c>
      <c r="H13" s="15">
        <f t="shared" si="2"/>
      </c>
      <c r="I13" s="15">
        <f t="shared" si="2"/>
      </c>
      <c r="J13" s="15">
        <f t="shared" si="2"/>
      </c>
      <c r="K13" s="15">
        <f t="shared" si="2"/>
      </c>
      <c r="L13" s="15">
        <f t="shared" si="2"/>
      </c>
      <c r="M13" s="15">
        <f t="shared" si="2"/>
      </c>
      <c r="N13" s="23" t="s">
        <v>54</v>
      </c>
    </row>
    <row r="14">
      <c r="A14" s="18" t="s">
        <v>38</v>
      </c>
      <c r="B14" s="53">
        <f t="array" ref="B14">IF(INDEX('毎月の実績入力'!C$12:C$45,($F$3-1)*6+1)="","",INDEX('毎月の実績入力'!C$12:C$45,($F$3-1)*6+1))</f>
      </c>
      <c r="C14" s="53">
        <f t="array" ref="C14">IF(INDEX('毎月の実績入力'!D$12:D$45,($F$3-1)*6+1)="","",INDEX('毎月の実績入力'!D$12:D$45,($F$3-1)*6+1))</f>
      </c>
      <c r="D14" s="53">
        <f t="array" ref="D14">IF(INDEX('毎月の実績入力'!E$12:E$45,($F$3-1)*6+1)="","",INDEX('毎月の実績入力'!E$12:E$45,($F$3-1)*6+1))</f>
      </c>
      <c r="E14" s="53">
        <f t="array" ref="E14">IF(INDEX('毎月の実績入力'!F$12:F$45,($F$3-1)*6+1)="","",INDEX('毎月の実績入力'!F$12:F$45,($F$3-1)*6+1))</f>
      </c>
      <c r="F14" s="53">
        <f t="array" ref="F14">IF(INDEX('毎月の実績入力'!G$12:G$45,($F$3-1)*6+1)="","",INDEX('毎月の実績入力'!G$12:G$45,($F$3-1)*6+1))</f>
      </c>
      <c r="G14" s="53">
        <f t="array" ref="G14">IF(INDEX('毎月の実績入力'!H$12:H$45,($F$3-1)*6+1)="","",INDEX('毎月の実績入力'!H$12:H$45,($F$3-1)*6+1))</f>
      </c>
      <c r="H14" s="53">
        <f t="array" ref="H14">IF(INDEX('毎月の実績入力'!I$12:I$45,($F$3-1)*6+1)="","",INDEX('毎月の実績入力'!I$12:I$45,($F$3-1)*6+1))</f>
      </c>
      <c r="I14" s="54">
        <f t="array" ref="I14">IF(INDEX('毎月の実績入力'!J$12:J$45,($F$3-1)*6+1)="","",INDEX('毎月の実績入力'!J$12:J$45,($F$3-1)*6+1))</f>
      </c>
      <c r="J14" s="54">
        <f t="array" ref="J14">IF(INDEX('毎月の実績入力'!K$12:K$45,($F$3-1)*6+1)="","",INDEX('毎月の実績入力'!K$12:K$45,($F$3-1)*6+1))</f>
      </c>
      <c r="K14" s="54">
        <f t="array" ref="K14">IF(INDEX('毎月の実績入力'!L$12:L$45,($F$3-1)*6+1)="","",INDEX('毎月の実績入力'!L$12:L$45,($F$3-1)*6+1))</f>
      </c>
      <c r="L14" s="54">
        <f t="array" ref="L14">IF(INDEX('毎月の実績入力'!M$12:M$45,($F$3-1)*6+1)="","",INDEX('毎月の実績入力'!M$12:M$45,($F$3-1)*6+1))</f>
      </c>
      <c r="M14" s="54">
        <f t="array" ref="M14">IF(INDEX('毎月の実績入力'!N$12:N$45,($F$3-1)*6+1)="","",INDEX('毎月の実績入力'!N$12:N$45,($F$3-1)*6+1))</f>
      </c>
      <c r="N14" s="54">
        <f>SUM(B14:M14)</f>
      </c>
    </row>
    <row r="15">
      <c r="A15" s="18" t="s">
        <v>39</v>
      </c>
      <c r="B15" s="55">
        <f t="shared" ref="B15:M15" si="3">IF(OR(B14="",B16=""),"",IFERROR(B16/B14,""))</f>
      </c>
      <c r="C15" s="55">
        <f t="shared" si="3"/>
      </c>
      <c r="D15" s="55">
        <f t="shared" si="3"/>
      </c>
      <c r="E15" s="55">
        <f t="shared" si="3"/>
      </c>
      <c r="F15" s="55">
        <f t="shared" si="3"/>
      </c>
      <c r="G15" s="55">
        <f t="shared" si="3"/>
      </c>
      <c r="H15" s="55">
        <f t="shared" si="3"/>
      </c>
      <c r="I15" s="55">
        <f t="shared" si="3"/>
      </c>
      <c r="J15" s="55">
        <f t="shared" si="3"/>
      </c>
      <c r="K15" s="55">
        <f t="shared" si="3"/>
      </c>
      <c r="L15" s="55">
        <f t="shared" si="3"/>
      </c>
      <c r="M15" s="55">
        <f t="shared" si="3"/>
      </c>
      <c r="N15" s="55">
        <f>IFERROR(N16/N14,"")</f>
      </c>
    </row>
    <row r="16">
      <c r="A16" s="18" t="s">
        <v>40</v>
      </c>
      <c r="B16" s="53">
        <f t="array" ref="B16">IF(INDEX('毎月の実績入力'!C$12:C$45,($F$3-1)*6+2)="","",INDEX('毎月の実績入力'!C$12:C$45,($F$3-1)*6+2))</f>
      </c>
      <c r="C16" s="53">
        <f t="array" ref="C16">IF(INDEX('毎月の実績入力'!D$12:D$45,($F$3-1)*6+2)="","",INDEX('毎月の実績入力'!D$12:D$45,($F$3-1)*6+2))</f>
      </c>
      <c r="D16" s="53">
        <f t="array" ref="D16">IF(INDEX('毎月の実績入力'!E$12:E$45,($F$3-1)*6+2)="","",INDEX('毎月の実績入力'!E$12:E$45,($F$3-1)*6+2))</f>
      </c>
      <c r="E16" s="53">
        <f t="array" ref="E16">IF(INDEX('毎月の実績入力'!F$12:F$45,($F$3-1)*6+2)="","",INDEX('毎月の実績入力'!F$12:F$45,($F$3-1)*6+2))</f>
      </c>
      <c r="F16" s="53">
        <f t="array" ref="F16">IF(INDEX('毎月の実績入力'!G$12:G$45,($F$3-1)*6+2)="","",INDEX('毎月の実績入力'!G$12:G$45,($F$3-1)*6+2))</f>
      </c>
      <c r="G16" s="53">
        <f t="array" ref="G16">IF(INDEX('毎月の実績入力'!H$12:H$45,($F$3-1)*6+2)="","",INDEX('毎月の実績入力'!H$12:H$45,($F$3-1)*6+2))</f>
      </c>
      <c r="H16" s="53">
        <f t="array" ref="H16">IF(INDEX('毎月の実績入力'!I$12:I$45,($F$3-1)*6+2)="","",INDEX('毎月の実績入力'!I$12:I$45,($F$3-1)*6+2))</f>
      </c>
      <c r="I16" s="54">
        <f t="array" ref="I16">IF(INDEX('毎月の実績入力'!J$12:J$45,($F$3-1)*6+2)="","",INDEX('毎月の実績入力'!J$12:J$45,($F$3-1)*6+2))</f>
      </c>
      <c r="J16" s="54">
        <f t="array" ref="J16">IF(INDEX('毎月の実績入力'!K$12:K$45,($F$3-1)*6+2)="","",INDEX('毎月の実績入力'!K$12:K$45,($F$3-1)*6+2))</f>
      </c>
      <c r="K16" s="54">
        <f t="array" ref="K16">IF(INDEX('毎月の実績入力'!L$12:L$45,($F$3-1)*6+2)="","",INDEX('毎月の実績入力'!L$12:L$45,($F$3-1)*6+2))</f>
      </c>
      <c r="L16" s="54">
        <f t="array" ref="L16">IF(INDEX('毎月の実績入力'!M$12:M$45,($F$3-1)*6+2)="","",INDEX('毎月の実績入力'!M$12:M$45,($F$3-1)*6+2))</f>
      </c>
      <c r="M16" s="54">
        <f t="array" ref="M16">IF(INDEX('毎月の実績入力'!N$12:N$45,($F$3-1)*6+2)="","",INDEX('毎月の実績入力'!N$12:N$45,($F$3-1)*6+2))</f>
      </c>
      <c r="N16" s="54">
        <f t="shared" ref="N16:N17" si="4">SUM(B16:M16)</f>
      </c>
    </row>
    <row r="17">
      <c r="A17" s="18" t="s">
        <v>46</v>
      </c>
      <c r="B17" s="53">
        <f t="array" ref="B17">IF(INDEX('毎月の実績入力'!C$12:C$45,($F$3-1)*6+3)="","",INDEX('毎月の実績入力'!C$12:C$45,($F$3-1)*6+3))</f>
      </c>
      <c r="C17" s="53">
        <f t="array" ref="C17">IF(INDEX('毎月の実績入力'!D$12:D$45,($F$3-1)*6+3)="","",INDEX('毎月の実績入力'!D$12:D$45,($F$3-1)*6+3))</f>
      </c>
      <c r="D17" s="53">
        <f t="array" ref="D17">IF(INDEX('毎月の実績入力'!E$12:E$45,($F$3-1)*6+3)="","",INDEX('毎月の実績入力'!E$12:E$45,($F$3-1)*6+3))</f>
      </c>
      <c r="E17" s="53">
        <f t="array" ref="E17">IF(INDEX('毎月の実績入力'!F$12:F$45,($F$3-1)*6+3)="","",INDEX('毎月の実績入力'!F$12:F$45,($F$3-1)*6+3))</f>
      </c>
      <c r="F17" s="53">
        <f t="array" ref="F17">IF(INDEX('毎月の実績入力'!G$12:G$45,($F$3-1)*6+3)="","",INDEX('毎月の実績入力'!G$12:G$45,($F$3-1)*6+3))</f>
      </c>
      <c r="G17" s="53">
        <f t="array" ref="G17">IF(INDEX('毎月の実績入力'!H$12:H$45,($F$3-1)*6+3)="","",INDEX('毎月の実績入力'!H$12:H$45,($F$3-1)*6+3))</f>
      </c>
      <c r="H17" s="53">
        <f t="array" ref="H17">IF(INDEX('毎月の実績入力'!I$12:I$45,($F$3-1)*6+3)="","",INDEX('毎月の実績入力'!I$12:I$45,($F$3-1)*6+3))</f>
      </c>
      <c r="I17" s="54">
        <f t="array" ref="I17">IF(INDEX('毎月の実績入力'!J$12:J$45,($F$3-1)*6+3)="","",INDEX('毎月の実績入力'!J$12:J$45,($F$3-1)*6+3))</f>
      </c>
      <c r="J17" s="54">
        <f t="array" ref="J17">IF(INDEX('毎月の実績入力'!K$12:K$45,($F$3-1)*6+3)="","",INDEX('毎月の実績入力'!K$12:K$45,($F$3-1)*6+3))</f>
      </c>
      <c r="K17" s="54">
        <f t="array" ref="K17">IF(INDEX('毎月の実績入力'!L$12:L$45,($F$3-1)*6+3)="","",INDEX('毎月の実績入力'!L$12:L$45,($F$3-1)*6+3))</f>
      </c>
      <c r="L17" s="54">
        <f t="array" ref="L17">IF(INDEX('毎月の実績入力'!M$12:M$45,($F$3-1)*6+3)="","",INDEX('毎月の実績入力'!M$12:M$45,($F$3-1)*6+3))</f>
      </c>
      <c r="M17" s="54">
        <f t="array" ref="M17">IF(INDEX('毎月の実績入力'!N$12:N$45,($F$3-1)*6+3)="","",INDEX('毎月の実績入力'!N$12:N$45,($F$3-1)*6+3))</f>
      </c>
      <c r="N17" s="54">
        <f t="shared" si="4"/>
      </c>
    </row>
    <row r="19">
      <c r="A19" s="3" t="s">
        <v>72</v>
      </c>
    </row>
    <row r="20">
      <c r="A20" s="8" t="s">
        <v>28</v>
      </c>
      <c r="B20" s="15">
        <f t="shared" ref="B20:M20" si="5">B$6</f>
      </c>
      <c r="C20" s="15">
        <f t="shared" si="5"/>
      </c>
      <c r="D20" s="15">
        <f t="shared" si="5"/>
      </c>
      <c r="E20" s="15">
        <f t="shared" si="5"/>
      </c>
      <c r="F20" s="15">
        <f t="shared" si="5"/>
      </c>
      <c r="G20" s="15">
        <f t="shared" si="5"/>
      </c>
      <c r="H20" s="15">
        <f t="shared" si="5"/>
      </c>
      <c r="I20" s="15">
        <f t="shared" si="5"/>
      </c>
      <c r="J20" s="15">
        <f t="shared" si="5"/>
      </c>
      <c r="K20" s="15">
        <f t="shared" si="5"/>
      </c>
      <c r="L20" s="15">
        <f t="shared" si="5"/>
      </c>
      <c r="M20" s="15">
        <f t="shared" si="5"/>
      </c>
    </row>
    <row r="21">
      <c r="A21" s="18" t="s">
        <v>73</v>
      </c>
      <c r="B21" s="20">
        <f t="shared" ref="B21:M21" si="6">IF(B26="","",IFERROR(SUM(INDEX($B$14:$M$14,$B$3):B$14)/SUM(INDEX($B$7:$M$7,$B$3):B$7),""))</f>
      </c>
      <c r="C21" s="20">
        <f t="shared" si="6"/>
      </c>
      <c r="D21" s="20">
        <f t="shared" si="6"/>
      </c>
      <c r="E21" s="20">
        <f t="shared" si="6"/>
      </c>
      <c r="F21" s="20">
        <f t="shared" si="6"/>
      </c>
      <c r="G21" s="20">
        <f t="shared" si="6"/>
      </c>
      <c r="H21" s="20">
        <f t="shared" si="6"/>
      </c>
      <c r="I21" s="20">
        <f t="shared" si="6"/>
      </c>
      <c r="J21" s="20">
        <f t="shared" si="6"/>
      </c>
      <c r="K21" s="20">
        <f t="shared" si="6"/>
      </c>
      <c r="L21" s="20">
        <f t="shared" si="6"/>
      </c>
      <c r="M21" s="20">
        <f t="shared" si="6"/>
      </c>
    </row>
    <row r="22">
      <c r="A22" s="18" t="s">
        <v>74</v>
      </c>
      <c r="B22" s="20">
        <f t="shared" ref="B22:M22" si="7">IF(B26="","",IFERROR(SUM(INDEX($B$16:$M$16,$B$3):B$16)/SUM(INDEX($B$8:$M$8,$B$3):B$8),""))</f>
      </c>
      <c r="C22" s="20">
        <f t="shared" si="7"/>
      </c>
      <c r="D22" s="20">
        <f t="shared" si="7"/>
      </c>
      <c r="E22" s="20">
        <f t="shared" si="7"/>
      </c>
      <c r="F22" s="20">
        <f t="shared" si="7"/>
      </c>
      <c r="G22" s="20">
        <f t="shared" si="7"/>
      </c>
      <c r="H22" s="20">
        <f t="shared" si="7"/>
      </c>
      <c r="I22" s="20">
        <f t="shared" si="7"/>
      </c>
      <c r="J22" s="20">
        <f t="shared" si="7"/>
      </c>
      <c r="K22" s="20">
        <f t="shared" si="7"/>
      </c>
      <c r="L22" s="20">
        <f t="shared" si="7"/>
      </c>
      <c r="M22" s="20">
        <f t="shared" si="7"/>
      </c>
    </row>
    <row r="23">
      <c r="A23" s="18" t="s">
        <v>48</v>
      </c>
      <c r="B23" s="16">
        <f t="shared" ref="B23:M23" si="8">IF(B26="","",IFERROR(B26/SUM(INDEX($B$14:$M$14,$B$3):B$14),"―"))</f>
      </c>
      <c r="C23" s="16">
        <f t="shared" si="8"/>
      </c>
      <c r="D23" s="16">
        <f t="shared" si="8"/>
      </c>
      <c r="E23" s="16">
        <f t="shared" si="8"/>
      </c>
      <c r="F23" s="16">
        <f t="shared" si="8"/>
      </c>
      <c r="G23" s="16">
        <f t="shared" si="8"/>
      </c>
      <c r="H23" s="16">
        <f t="shared" si="8"/>
      </c>
      <c r="I23" s="16">
        <f t="shared" si="8"/>
      </c>
      <c r="J23" s="16">
        <f t="shared" si="8"/>
      </c>
      <c r="K23" s="16">
        <f t="shared" si="8"/>
      </c>
      <c r="L23" s="16">
        <f t="shared" si="8"/>
      </c>
      <c r="M23" s="16">
        <f t="shared" si="8"/>
      </c>
    </row>
    <row r="24">
      <c r="A24" s="18" t="s">
        <v>70</v>
      </c>
      <c r="B24" s="26">
        <f t="shared" ref="B24:M24" si="9">IF(B26="","",IF(SUM(INDEX($B$17:$M$17,$B$3):B$17)=0,"費用なし",IF(OR(B23="―",B23&gt;$F$2),"上限超え","上限内")))</f>
      </c>
      <c r="C24" s="26">
        <f t="shared" si="9"/>
      </c>
      <c r="D24" s="26">
        <f t="shared" si="9"/>
      </c>
      <c r="E24" s="26">
        <f t="shared" si="9"/>
      </c>
      <c r="F24" s="26">
        <f t="shared" si="9"/>
      </c>
      <c r="G24" s="26">
        <f t="shared" si="9"/>
      </c>
      <c r="H24" s="26">
        <f t="shared" si="9"/>
      </c>
      <c r="I24" s="26">
        <f t="shared" si="9"/>
      </c>
      <c r="J24" s="26">
        <f t="shared" si="9"/>
      </c>
      <c r="K24" s="26">
        <f t="shared" si="9"/>
      </c>
      <c r="L24" s="26">
        <f t="shared" si="9"/>
      </c>
      <c r="M24" s="26">
        <f t="shared" si="9"/>
      </c>
    </row>
    <row r="25">
      <c r="A25" s="18" t="s">
        <v>75</v>
      </c>
      <c r="B25" s="26">
        <f t="shared" ref="B25:M25" si="10">IF(B26="","",IF(COLUMN()-1&lt;$D$3,"判定前",IF(B24="費用なし","判定しない",IF(AND(B24="上限超え",B21&lt;0.9),"撤退を検討","なし"))))</f>
      </c>
      <c r="C25" s="26">
        <f t="shared" si="10"/>
      </c>
      <c r="D25" s="26">
        <f t="shared" si="10"/>
      </c>
      <c r="E25" s="26">
        <f t="shared" si="10"/>
      </c>
      <c r="F25" s="26">
        <f t="shared" si="10"/>
      </c>
      <c r="G25" s="26">
        <f t="shared" si="10"/>
      </c>
      <c r="H25" s="26">
        <f t="shared" si="10"/>
      </c>
      <c r="I25" s="26">
        <f t="shared" si="10"/>
      </c>
      <c r="J25" s="26">
        <f t="shared" si="10"/>
      </c>
      <c r="K25" s="26">
        <f t="shared" si="10"/>
      </c>
      <c r="L25" s="26">
        <f t="shared" si="10"/>
      </c>
      <c r="M25" s="26">
        <f t="shared" si="10"/>
      </c>
    </row>
    <row r="26">
      <c r="A26" s="18" t="s">
        <v>76</v>
      </c>
      <c r="B26" s="21">
        <f t="shared" ref="B26:M26" si="11">IF(OR($B$3="",COLUMN()-1&lt;$B$3,B$14=""),"",SUM(INDEX($B$17:$M$17,$B$3):B$17)+SUM(INDEX($B$10:$M$10,$B$3):B$10))</f>
      </c>
      <c r="C26" s="21">
        <f t="shared" si="11"/>
      </c>
      <c r="D26" s="21">
        <f t="shared" si="11"/>
      </c>
      <c r="E26" s="21">
        <f t="shared" si="11"/>
      </c>
      <c r="F26" s="21">
        <f t="shared" si="11"/>
      </c>
      <c r="G26" s="21">
        <f t="shared" si="11"/>
      </c>
      <c r="H26" s="21">
        <f t="shared" si="11"/>
      </c>
      <c r="I26" s="21">
        <f t="shared" si="11"/>
      </c>
      <c r="J26" s="21">
        <f t="shared" si="11"/>
      </c>
      <c r="K26" s="21">
        <f t="shared" si="11"/>
      </c>
      <c r="L26" s="21">
        <f t="shared" si="11"/>
      </c>
      <c r="M26" s="21">
        <f t="shared" si="11"/>
      </c>
    </row>
    <row r="28">
      <c r="A28" s="4" t="s">
        <v>77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>
      <c r="A29" s="4" t="s">
        <v>78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>
      <c r="A30" s="4" t="s">
        <v>79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</sheetData>
  <conditionalFormatting sqref="O7:O9">
    <cfRule type="cellIs" dxfId="0" priority="1" stopIfTrue="1" operator="equal">
      <formula>"確認"</formula>
    </cfRule>
  </conditionalFormatting>
  <conditionalFormatting sqref="B24:M25">
    <cfRule type="cellIs" dxfId="0" priority="2" stopIfTrue="1" operator="equal">
      <formula>"上限超え"</formula>
    </cfRule>
  </conditionalFormatting>
  <conditionalFormatting sqref="B24:M25">
    <cfRule type="cellIs" dxfId="1" priority="3" stopIfTrue="1" operator="equal">
      <formula>"撤退を検討"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2" max="13" width="7.13"/>
    <col customWidth="1" min="14" max="14" width="8.13"/>
    <col customWidth="1" min="15" max="15" width="11.38"/>
  </cols>
  <sheetData>
    <row r="1">
      <c r="A1" s="1" t="s">
        <v>53</v>
      </c>
      <c r="D1" s="4" t="s">
        <v>4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18</v>
      </c>
      <c r="B2" s="10">
        <f t="array" ref="B2">IF(B3="","計画なし",INDEX($B$6:$M$6,B3))</f>
      </c>
      <c r="C2" s="3" t="s">
        <v>34</v>
      </c>
      <c r="D2" s="10">
        <f t="array" ref="D2">IF(D3="","",IF(D3&gt;12,"今期は判定なし",INDEX($B$6:$M$6,D3)))</f>
      </c>
      <c r="E2" s="3" t="s">
        <v>32</v>
      </c>
      <c r="F2" s="17">
        <f>'はじめに入力'!$I$5</f>
      </c>
    </row>
    <row r="3" hidden="1">
      <c r="A3" s="5" t="s">
        <v>35</v>
      </c>
      <c r="B3" s="10">
        <f t="array" ref="B3">IFERROR(MATCH(TRUE,INDEX($B$7:$M$7&gt;0,0),0),"")</f>
      </c>
      <c r="D3" s="10">
        <f>IF(B3="","",B3+6)</f>
      </c>
      <c r="F3" s="10">
        <f>MATCH($A$1,'はじめに入力'!$A$9:$A$14,0)</f>
      </c>
    </row>
    <row r="4">
      <c r="A4" s="3" t="s">
        <v>51</v>
      </c>
    </row>
    <row r="5">
      <c r="B5" s="19" t="s">
        <v>52</v>
      </c>
    </row>
    <row r="6">
      <c r="A6" s="8" t="s">
        <v>28</v>
      </c>
      <c r="B6" s="15">
        <f>MONTH(EDATE('はじめに入力'!$A$5,0))&amp;"月"</f>
      </c>
      <c r="C6" s="15">
        <f>MONTH(EDATE('はじめに入力'!$A$5,1))&amp;"月"</f>
      </c>
      <c r="D6" s="15">
        <f>MONTH(EDATE('はじめに入力'!$A$5,2))&amp;"月"</f>
      </c>
      <c r="E6" s="15">
        <f>MONTH(EDATE('はじめに入力'!$A$5,3))&amp;"月"</f>
      </c>
      <c r="F6" s="15">
        <f>MONTH(EDATE('はじめに入力'!$A$5,4))&amp;"月"</f>
      </c>
      <c r="G6" s="15">
        <f>MONTH(EDATE('はじめに入力'!$A$5,5))&amp;"月"</f>
      </c>
      <c r="H6" s="15">
        <f>MONTH(EDATE('はじめに入力'!$A$5,6))&amp;"月"</f>
      </c>
      <c r="I6" s="15">
        <f>MONTH(EDATE('はじめに入力'!$A$5,7))&amp;"月"</f>
      </c>
      <c r="J6" s="15">
        <f>MONTH(EDATE('はじめに入力'!$A$5,8))&amp;"月"</f>
      </c>
      <c r="K6" s="15">
        <f>MONTH(EDATE('はじめに入力'!$A$5,9))&amp;"月"</f>
      </c>
      <c r="L6" s="15">
        <f>MONTH(EDATE('はじめに入力'!$A$5,10))&amp;"月"</f>
      </c>
      <c r="M6" s="15">
        <f>MONTH(EDATE('はじめに入力'!$A$5,11))&amp;"月"</f>
      </c>
      <c r="N6" s="23" t="s">
        <v>54</v>
      </c>
      <c r="O6" s="23" t="s">
        <v>56</v>
      </c>
    </row>
    <row r="7">
      <c r="A7" s="18" t="s">
        <v>38</v>
      </c>
      <c r="B7" s="11">
        <v>0.0</v>
      </c>
      <c r="C7" s="11">
        <v>13.0</v>
      </c>
      <c r="D7" s="11">
        <v>0.0</v>
      </c>
      <c r="E7" s="11">
        <v>13.0</v>
      </c>
      <c r="F7" s="11">
        <v>0.0</v>
      </c>
      <c r="G7" s="11">
        <v>13.0</v>
      </c>
      <c r="H7" s="11">
        <v>0.0</v>
      </c>
      <c r="I7" s="11">
        <v>13.0</v>
      </c>
      <c r="J7" s="11">
        <v>0.0</v>
      </c>
      <c r="K7" s="11">
        <v>14.0</v>
      </c>
      <c r="L7" s="11">
        <v>0.0</v>
      </c>
      <c r="M7" s="11">
        <v>14.0</v>
      </c>
      <c r="N7" s="21">
        <f t="shared" ref="N7:N10" si="1">SUM(B7:M7)</f>
      </c>
      <c r="O7" s="26">
        <f t="array" ref="O7">IF(N7=INDEX('はじめに入力'!$B$9:$B$14,$F$3),"一致","確認")</f>
      </c>
    </row>
    <row r="8">
      <c r="A8" s="18" t="s">
        <v>40</v>
      </c>
      <c r="B8" s="11">
        <v>0.0</v>
      </c>
      <c r="C8" s="11">
        <v>8.0</v>
      </c>
      <c r="D8" s="11">
        <v>0.0</v>
      </c>
      <c r="E8" s="11">
        <v>8.0</v>
      </c>
      <c r="F8" s="11">
        <v>0.0</v>
      </c>
      <c r="G8" s="11">
        <v>8.0</v>
      </c>
      <c r="H8" s="11">
        <v>0.0</v>
      </c>
      <c r="I8" s="11">
        <v>8.0</v>
      </c>
      <c r="J8" s="11">
        <v>0.0</v>
      </c>
      <c r="K8" s="11">
        <v>9.0</v>
      </c>
      <c r="L8" s="11">
        <v>0.0</v>
      </c>
      <c r="M8" s="11">
        <v>9.0</v>
      </c>
      <c r="N8" s="21">
        <f t="shared" si="1"/>
      </c>
      <c r="O8" s="26">
        <f t="array" ref="O8">IF(N8=INDEX('はじめに入力'!$D$9:$D$14,$F$3),"一致","確認")</f>
      </c>
    </row>
    <row r="9">
      <c r="A9" s="18" t="s">
        <v>46</v>
      </c>
      <c r="B9" s="27">
        <f t="array" ref="B9">INDEX('はじめに入力'!$J$9:$J$14,$F$3)/12</f>
      </c>
      <c r="C9" s="27">
        <f t="array" ref="C9">INDEX('はじめに入力'!$J$9:$J$14,$F$3)/12</f>
      </c>
      <c r="D9" s="27">
        <f t="array" ref="D9">INDEX('はじめに入力'!$J$9:$J$14,$F$3)/12</f>
      </c>
      <c r="E9" s="27">
        <f t="array" ref="E9">INDEX('はじめに入力'!$J$9:$J$14,$F$3)/12</f>
      </c>
      <c r="F9" s="27">
        <f t="array" ref="F9">INDEX('はじめに入力'!$J$9:$J$14,$F$3)/12</f>
      </c>
      <c r="G9" s="27">
        <f t="array" ref="G9">INDEX('はじめに入力'!$J$9:$J$14,$F$3)/12</f>
      </c>
      <c r="H9" s="27">
        <f t="array" ref="H9">INDEX('はじめに入力'!$J$9:$J$14,$F$3)/12</f>
      </c>
      <c r="I9" s="27">
        <f t="array" ref="I9">INDEX('はじめに入力'!$J$9:$J$14,$F$3)/12</f>
      </c>
      <c r="J9" s="27">
        <f t="array" ref="J9">INDEX('はじめに入力'!$J$9:$J$14,$F$3)/12</f>
      </c>
      <c r="K9" s="27">
        <f t="array" ref="K9">INDEX('はじめに入力'!$J$9:$J$14,$F$3)/12</f>
      </c>
      <c r="L9" s="27">
        <f t="array" ref="L9">INDEX('はじめに入力'!$J$9:$J$14,$F$3)/12</f>
      </c>
      <c r="M9" s="27">
        <f t="array" ref="M9">INDEX('はじめに入力'!$J$9:$J$14,$F$3)/12</f>
      </c>
      <c r="N9" s="30">
        <f t="shared" si="1"/>
      </c>
      <c r="O9" s="26">
        <f t="array" ref="O9">IF(ROUND(N9,1)=ROUND(INDEX('はじめに入力'!$J$9:$J$14,$F$3),1),"一致","確認")</f>
      </c>
    </row>
    <row r="10">
      <c r="A10" s="18" t="s">
        <v>47</v>
      </c>
      <c r="B10" s="27">
        <f t="array" ref="B10">INDEX('はじめに入力'!$K$9:$K$14,$F$3)/12</f>
      </c>
      <c r="C10" s="27">
        <f t="array" ref="C10">INDEX('はじめに入力'!$K$9:$K$14,$F$3)/12</f>
      </c>
      <c r="D10" s="27">
        <f t="array" ref="D10">INDEX('はじめに入力'!$K$9:$K$14,$F$3)/12</f>
      </c>
      <c r="E10" s="27">
        <f t="array" ref="E10">INDEX('はじめに入力'!$K$9:$K$14,$F$3)/12</f>
      </c>
      <c r="F10" s="27">
        <f t="array" ref="F10">INDEX('はじめに入力'!$K$9:$K$14,$F$3)/12</f>
      </c>
      <c r="G10" s="27">
        <f t="array" ref="G10">INDEX('はじめに入力'!$K$9:$K$14,$F$3)/12</f>
      </c>
      <c r="H10" s="27">
        <f t="array" ref="H10">INDEX('はじめに入力'!$K$9:$K$14,$F$3)/12</f>
      </c>
      <c r="I10" s="27">
        <f t="array" ref="I10">INDEX('はじめに入力'!$K$9:$K$14,$F$3)/12</f>
      </c>
      <c r="J10" s="27">
        <f t="array" ref="J10">INDEX('はじめに入力'!$K$9:$K$14,$F$3)/12</f>
      </c>
      <c r="K10" s="27">
        <f t="array" ref="K10">INDEX('はじめに入力'!$K$9:$K$14,$F$3)/12</f>
      </c>
      <c r="L10" s="27">
        <f t="array" ref="L10">INDEX('はじめに入力'!$K$9:$K$14,$F$3)/12</f>
      </c>
      <c r="M10" s="27">
        <f t="array" ref="M10">INDEX('はじめに入力'!$K$9:$K$14,$F$3)/12</f>
      </c>
      <c r="N10" s="30">
        <f t="shared" si="1"/>
      </c>
      <c r="O10" s="24"/>
    </row>
    <row r="12">
      <c r="A12" s="3" t="s">
        <v>68</v>
      </c>
    </row>
    <row r="13">
      <c r="A13" s="47" t="s">
        <v>28</v>
      </c>
      <c r="B13" s="15">
        <f t="shared" ref="B13:M13" si="2">B$6</f>
      </c>
      <c r="C13" s="15">
        <f t="shared" si="2"/>
      </c>
      <c r="D13" s="15">
        <f t="shared" si="2"/>
      </c>
      <c r="E13" s="15">
        <f t="shared" si="2"/>
      </c>
      <c r="F13" s="15">
        <f t="shared" si="2"/>
      </c>
      <c r="G13" s="15">
        <f t="shared" si="2"/>
      </c>
      <c r="H13" s="15">
        <f t="shared" si="2"/>
      </c>
      <c r="I13" s="15">
        <f t="shared" si="2"/>
      </c>
      <c r="J13" s="15">
        <f t="shared" si="2"/>
      </c>
      <c r="K13" s="15">
        <f t="shared" si="2"/>
      </c>
      <c r="L13" s="15">
        <f t="shared" si="2"/>
      </c>
      <c r="M13" s="15">
        <f t="shared" si="2"/>
      </c>
      <c r="N13" s="23" t="s">
        <v>54</v>
      </c>
    </row>
    <row r="14">
      <c r="A14" s="18" t="s">
        <v>38</v>
      </c>
      <c r="B14" s="53">
        <f t="array" ref="B14">IF(INDEX('毎月の実績入力'!C$12:C$45,($F$3-1)*6+1)="","",INDEX('毎月の実績入力'!C$12:C$45,($F$3-1)*6+1))</f>
      </c>
      <c r="C14" s="53">
        <f t="array" ref="C14">IF(INDEX('毎月の実績入力'!D$12:D$45,($F$3-1)*6+1)="","",INDEX('毎月の実績入力'!D$12:D$45,($F$3-1)*6+1))</f>
      </c>
      <c r="D14" s="53">
        <f t="array" ref="D14">IF(INDEX('毎月の実績入力'!E$12:E$45,($F$3-1)*6+1)="","",INDEX('毎月の実績入力'!E$12:E$45,($F$3-1)*6+1))</f>
      </c>
      <c r="E14" s="53">
        <f t="array" ref="E14">IF(INDEX('毎月の実績入力'!F$12:F$45,($F$3-1)*6+1)="","",INDEX('毎月の実績入力'!F$12:F$45,($F$3-1)*6+1))</f>
      </c>
      <c r="F14" s="53">
        <f t="array" ref="F14">IF(INDEX('毎月の実績入力'!G$12:G$45,($F$3-1)*6+1)="","",INDEX('毎月の実績入力'!G$12:G$45,($F$3-1)*6+1))</f>
      </c>
      <c r="G14" s="53">
        <f t="array" ref="G14">IF(INDEX('毎月の実績入力'!H$12:H$45,($F$3-1)*6+1)="","",INDEX('毎月の実績入力'!H$12:H$45,($F$3-1)*6+1))</f>
      </c>
      <c r="H14" s="53">
        <f t="array" ref="H14">IF(INDEX('毎月の実績入力'!I$12:I$45,($F$3-1)*6+1)="","",INDEX('毎月の実績入力'!I$12:I$45,($F$3-1)*6+1))</f>
      </c>
      <c r="I14" s="54">
        <f t="array" ref="I14">IF(INDEX('毎月の実績入力'!J$12:J$45,($F$3-1)*6+1)="","",INDEX('毎月の実績入力'!J$12:J$45,($F$3-1)*6+1))</f>
      </c>
      <c r="J14" s="54">
        <f t="array" ref="J14">IF(INDEX('毎月の実績入力'!K$12:K$45,($F$3-1)*6+1)="","",INDEX('毎月の実績入力'!K$12:K$45,($F$3-1)*6+1))</f>
      </c>
      <c r="K14" s="54">
        <f t="array" ref="K14">IF(INDEX('毎月の実績入力'!L$12:L$45,($F$3-1)*6+1)="","",INDEX('毎月の実績入力'!L$12:L$45,($F$3-1)*6+1))</f>
      </c>
      <c r="L14" s="54">
        <f t="array" ref="L14">IF(INDEX('毎月の実績入力'!M$12:M$45,($F$3-1)*6+1)="","",INDEX('毎月の実績入力'!M$12:M$45,($F$3-1)*6+1))</f>
      </c>
      <c r="M14" s="54">
        <f t="array" ref="M14">IF(INDEX('毎月の実績入力'!N$12:N$45,($F$3-1)*6+1)="","",INDEX('毎月の実績入力'!N$12:N$45,($F$3-1)*6+1))</f>
      </c>
      <c r="N14" s="54">
        <f>SUM(B14:M14)</f>
      </c>
    </row>
    <row r="15">
      <c r="A15" s="18" t="s">
        <v>39</v>
      </c>
      <c r="B15" s="55">
        <f t="shared" ref="B15:M15" si="3">IF(OR(B14="",B16=""),"",IFERROR(B16/B14,""))</f>
      </c>
      <c r="C15" s="55">
        <f t="shared" si="3"/>
      </c>
      <c r="D15" s="55">
        <f t="shared" si="3"/>
      </c>
      <c r="E15" s="55">
        <f t="shared" si="3"/>
      </c>
      <c r="F15" s="55">
        <f t="shared" si="3"/>
      </c>
      <c r="G15" s="55">
        <f t="shared" si="3"/>
      </c>
      <c r="H15" s="55">
        <f t="shared" si="3"/>
      </c>
      <c r="I15" s="55">
        <f t="shared" si="3"/>
      </c>
      <c r="J15" s="55">
        <f t="shared" si="3"/>
      </c>
      <c r="K15" s="55">
        <f t="shared" si="3"/>
      </c>
      <c r="L15" s="55">
        <f t="shared" si="3"/>
      </c>
      <c r="M15" s="55">
        <f t="shared" si="3"/>
      </c>
      <c r="N15" s="55">
        <f>IFERROR(N16/N14,"")</f>
      </c>
    </row>
    <row r="16">
      <c r="A16" s="18" t="s">
        <v>40</v>
      </c>
      <c r="B16" s="53">
        <f t="array" ref="B16">IF(INDEX('毎月の実績入力'!C$12:C$45,($F$3-1)*6+2)="","",INDEX('毎月の実績入力'!C$12:C$45,($F$3-1)*6+2))</f>
      </c>
      <c r="C16" s="53">
        <f t="array" ref="C16">IF(INDEX('毎月の実績入力'!D$12:D$45,($F$3-1)*6+2)="","",INDEX('毎月の実績入力'!D$12:D$45,($F$3-1)*6+2))</f>
      </c>
      <c r="D16" s="53">
        <f t="array" ref="D16">IF(INDEX('毎月の実績入力'!E$12:E$45,($F$3-1)*6+2)="","",INDEX('毎月の実績入力'!E$12:E$45,($F$3-1)*6+2))</f>
      </c>
      <c r="E16" s="53">
        <f t="array" ref="E16">IF(INDEX('毎月の実績入力'!F$12:F$45,($F$3-1)*6+2)="","",INDEX('毎月の実績入力'!F$12:F$45,($F$3-1)*6+2))</f>
      </c>
      <c r="F16" s="53">
        <f t="array" ref="F16">IF(INDEX('毎月の実績入力'!G$12:G$45,($F$3-1)*6+2)="","",INDEX('毎月の実績入力'!G$12:G$45,($F$3-1)*6+2))</f>
      </c>
      <c r="G16" s="53">
        <f t="array" ref="G16">IF(INDEX('毎月の実績入力'!H$12:H$45,($F$3-1)*6+2)="","",INDEX('毎月の実績入力'!H$12:H$45,($F$3-1)*6+2))</f>
      </c>
      <c r="H16" s="53">
        <f t="array" ref="H16">IF(INDEX('毎月の実績入力'!I$12:I$45,($F$3-1)*6+2)="","",INDEX('毎月の実績入力'!I$12:I$45,($F$3-1)*6+2))</f>
      </c>
      <c r="I16" s="54">
        <f t="array" ref="I16">IF(INDEX('毎月の実績入力'!J$12:J$45,($F$3-1)*6+2)="","",INDEX('毎月の実績入力'!J$12:J$45,($F$3-1)*6+2))</f>
      </c>
      <c r="J16" s="54">
        <f t="array" ref="J16">IF(INDEX('毎月の実績入力'!K$12:K$45,($F$3-1)*6+2)="","",INDEX('毎月の実績入力'!K$12:K$45,($F$3-1)*6+2))</f>
      </c>
      <c r="K16" s="54">
        <f t="array" ref="K16">IF(INDEX('毎月の実績入力'!L$12:L$45,($F$3-1)*6+2)="","",INDEX('毎月の実績入力'!L$12:L$45,($F$3-1)*6+2))</f>
      </c>
      <c r="L16" s="54">
        <f t="array" ref="L16">IF(INDEX('毎月の実績入力'!M$12:M$45,($F$3-1)*6+2)="","",INDEX('毎月の実績入力'!M$12:M$45,($F$3-1)*6+2))</f>
      </c>
      <c r="M16" s="54">
        <f t="array" ref="M16">IF(INDEX('毎月の実績入力'!N$12:N$45,($F$3-1)*6+2)="","",INDEX('毎月の実績入力'!N$12:N$45,($F$3-1)*6+2))</f>
      </c>
      <c r="N16" s="54">
        <f t="shared" ref="N16:N17" si="4">SUM(B16:M16)</f>
      </c>
    </row>
    <row r="17">
      <c r="A17" s="18" t="s">
        <v>46</v>
      </c>
      <c r="B17" s="53">
        <f t="array" ref="B17">IF(INDEX('毎月の実績入力'!C$12:C$45,($F$3-1)*6+3)="","",INDEX('毎月の実績入力'!C$12:C$45,($F$3-1)*6+3))</f>
      </c>
      <c r="C17" s="53">
        <f t="array" ref="C17">IF(INDEX('毎月の実績入力'!D$12:D$45,($F$3-1)*6+3)="","",INDEX('毎月の実績入力'!D$12:D$45,($F$3-1)*6+3))</f>
      </c>
      <c r="D17" s="53">
        <f t="array" ref="D17">IF(INDEX('毎月の実績入力'!E$12:E$45,($F$3-1)*6+3)="","",INDEX('毎月の実績入力'!E$12:E$45,($F$3-1)*6+3))</f>
      </c>
      <c r="E17" s="53">
        <f t="array" ref="E17">IF(INDEX('毎月の実績入力'!F$12:F$45,($F$3-1)*6+3)="","",INDEX('毎月の実績入力'!F$12:F$45,($F$3-1)*6+3))</f>
      </c>
      <c r="F17" s="53">
        <f t="array" ref="F17">IF(INDEX('毎月の実績入力'!G$12:G$45,($F$3-1)*6+3)="","",INDEX('毎月の実績入力'!G$12:G$45,($F$3-1)*6+3))</f>
      </c>
      <c r="G17" s="53">
        <f t="array" ref="G17">IF(INDEX('毎月の実績入力'!H$12:H$45,($F$3-1)*6+3)="","",INDEX('毎月の実績入力'!H$12:H$45,($F$3-1)*6+3))</f>
      </c>
      <c r="H17" s="53">
        <f t="array" ref="H17">IF(INDEX('毎月の実績入力'!I$12:I$45,($F$3-1)*6+3)="","",INDEX('毎月の実績入力'!I$12:I$45,($F$3-1)*6+3))</f>
      </c>
      <c r="I17" s="54">
        <f t="array" ref="I17">IF(INDEX('毎月の実績入力'!J$12:J$45,($F$3-1)*6+3)="","",INDEX('毎月の実績入力'!J$12:J$45,($F$3-1)*6+3))</f>
      </c>
      <c r="J17" s="54">
        <f t="array" ref="J17">IF(INDEX('毎月の実績入力'!K$12:K$45,($F$3-1)*6+3)="","",INDEX('毎月の実績入力'!K$12:K$45,($F$3-1)*6+3))</f>
      </c>
      <c r="K17" s="54">
        <f t="array" ref="K17">IF(INDEX('毎月の実績入力'!L$12:L$45,($F$3-1)*6+3)="","",INDEX('毎月の実績入力'!L$12:L$45,($F$3-1)*6+3))</f>
      </c>
      <c r="L17" s="54">
        <f t="array" ref="L17">IF(INDEX('毎月の実績入力'!M$12:M$45,($F$3-1)*6+3)="","",INDEX('毎月の実績入力'!M$12:M$45,($F$3-1)*6+3))</f>
      </c>
      <c r="M17" s="54">
        <f t="array" ref="M17">IF(INDEX('毎月の実績入力'!N$12:N$45,($F$3-1)*6+3)="","",INDEX('毎月の実績入力'!N$12:N$45,($F$3-1)*6+3))</f>
      </c>
      <c r="N17" s="54">
        <f t="shared" si="4"/>
      </c>
    </row>
    <row r="19">
      <c r="A19" s="3" t="s">
        <v>72</v>
      </c>
    </row>
    <row r="20">
      <c r="A20" s="8" t="s">
        <v>28</v>
      </c>
      <c r="B20" s="15">
        <f t="shared" ref="B20:M20" si="5">B$6</f>
      </c>
      <c r="C20" s="15">
        <f t="shared" si="5"/>
      </c>
      <c r="D20" s="15">
        <f t="shared" si="5"/>
      </c>
      <c r="E20" s="15">
        <f t="shared" si="5"/>
      </c>
      <c r="F20" s="15">
        <f t="shared" si="5"/>
      </c>
      <c r="G20" s="15">
        <f t="shared" si="5"/>
      </c>
      <c r="H20" s="15">
        <f t="shared" si="5"/>
      </c>
      <c r="I20" s="15">
        <f t="shared" si="5"/>
      </c>
      <c r="J20" s="15">
        <f t="shared" si="5"/>
      </c>
      <c r="K20" s="15">
        <f t="shared" si="5"/>
      </c>
      <c r="L20" s="15">
        <f t="shared" si="5"/>
      </c>
      <c r="M20" s="15">
        <f t="shared" si="5"/>
      </c>
    </row>
    <row r="21">
      <c r="A21" s="18" t="s">
        <v>73</v>
      </c>
      <c r="B21" s="20">
        <f t="shared" ref="B21:M21" si="6">IF(B26="","",IFERROR(SUM(INDEX($B$14:$M$14,$B$3):B$14)/SUM(INDEX($B$7:$M$7,$B$3):B$7),""))</f>
      </c>
      <c r="C21" s="20">
        <f t="shared" si="6"/>
      </c>
      <c r="D21" s="20">
        <f t="shared" si="6"/>
      </c>
      <c r="E21" s="20">
        <f t="shared" si="6"/>
      </c>
      <c r="F21" s="20">
        <f t="shared" si="6"/>
      </c>
      <c r="G21" s="20">
        <f t="shared" si="6"/>
      </c>
      <c r="H21" s="20">
        <f t="shared" si="6"/>
      </c>
      <c r="I21" s="20">
        <f t="shared" si="6"/>
      </c>
      <c r="J21" s="20">
        <f t="shared" si="6"/>
      </c>
      <c r="K21" s="20">
        <f t="shared" si="6"/>
      </c>
      <c r="L21" s="20">
        <f t="shared" si="6"/>
      </c>
      <c r="M21" s="20">
        <f t="shared" si="6"/>
      </c>
    </row>
    <row r="22">
      <c r="A22" s="18" t="s">
        <v>74</v>
      </c>
      <c r="B22" s="20">
        <f t="shared" ref="B22:M22" si="7">IF(B26="","",IFERROR(SUM(INDEX($B$16:$M$16,$B$3):B$16)/SUM(INDEX($B$8:$M$8,$B$3):B$8),""))</f>
      </c>
      <c r="C22" s="20">
        <f t="shared" si="7"/>
      </c>
      <c r="D22" s="20">
        <f t="shared" si="7"/>
      </c>
      <c r="E22" s="20">
        <f t="shared" si="7"/>
      </c>
      <c r="F22" s="20">
        <f t="shared" si="7"/>
      </c>
      <c r="G22" s="20">
        <f t="shared" si="7"/>
      </c>
      <c r="H22" s="20">
        <f t="shared" si="7"/>
      </c>
      <c r="I22" s="20">
        <f t="shared" si="7"/>
      </c>
      <c r="J22" s="20">
        <f t="shared" si="7"/>
      </c>
      <c r="K22" s="20">
        <f t="shared" si="7"/>
      </c>
      <c r="L22" s="20">
        <f t="shared" si="7"/>
      </c>
      <c r="M22" s="20">
        <f t="shared" si="7"/>
      </c>
    </row>
    <row r="23">
      <c r="A23" s="18" t="s">
        <v>48</v>
      </c>
      <c r="B23" s="16">
        <f t="shared" ref="B23:M23" si="8">IF(B26="","",IFERROR(B26/SUM(INDEX($B$14:$M$14,$B$3):B$14),"―"))</f>
      </c>
      <c r="C23" s="16">
        <f t="shared" si="8"/>
      </c>
      <c r="D23" s="16">
        <f t="shared" si="8"/>
      </c>
      <c r="E23" s="16">
        <f t="shared" si="8"/>
      </c>
      <c r="F23" s="16">
        <f t="shared" si="8"/>
      </c>
      <c r="G23" s="16">
        <f t="shared" si="8"/>
      </c>
      <c r="H23" s="16">
        <f t="shared" si="8"/>
      </c>
      <c r="I23" s="16">
        <f t="shared" si="8"/>
      </c>
      <c r="J23" s="16">
        <f t="shared" si="8"/>
      </c>
      <c r="K23" s="16">
        <f t="shared" si="8"/>
      </c>
      <c r="L23" s="16">
        <f t="shared" si="8"/>
      </c>
      <c r="M23" s="16">
        <f t="shared" si="8"/>
      </c>
    </row>
    <row r="24">
      <c r="A24" s="18" t="s">
        <v>70</v>
      </c>
      <c r="B24" s="26">
        <f t="shared" ref="B24:M24" si="9">IF(B26="","",IF(SUM(INDEX($B$17:$M$17,$B$3):B$17)=0,"費用なし",IF(OR(B23="―",B23&gt;$F$2),"上限超え","上限内")))</f>
      </c>
      <c r="C24" s="26">
        <f t="shared" si="9"/>
      </c>
      <c r="D24" s="26">
        <f t="shared" si="9"/>
      </c>
      <c r="E24" s="26">
        <f t="shared" si="9"/>
      </c>
      <c r="F24" s="26">
        <f t="shared" si="9"/>
      </c>
      <c r="G24" s="26">
        <f t="shared" si="9"/>
      </c>
      <c r="H24" s="26">
        <f t="shared" si="9"/>
      </c>
      <c r="I24" s="26">
        <f t="shared" si="9"/>
      </c>
      <c r="J24" s="26">
        <f t="shared" si="9"/>
      </c>
      <c r="K24" s="26">
        <f t="shared" si="9"/>
      </c>
      <c r="L24" s="26">
        <f t="shared" si="9"/>
      </c>
      <c r="M24" s="26">
        <f t="shared" si="9"/>
      </c>
    </row>
    <row r="25">
      <c r="A25" s="18" t="s">
        <v>75</v>
      </c>
      <c r="B25" s="26">
        <f t="shared" ref="B25:M25" si="10">IF(B26="","",IF(COLUMN()-1&lt;$D$3,"判定前",IF(B24="費用なし","判定しない",IF(AND(B24="上限超え",B21&lt;0.9),"撤退を検討","なし"))))</f>
      </c>
      <c r="C25" s="26">
        <f t="shared" si="10"/>
      </c>
      <c r="D25" s="26">
        <f t="shared" si="10"/>
      </c>
      <c r="E25" s="26">
        <f t="shared" si="10"/>
      </c>
      <c r="F25" s="26">
        <f t="shared" si="10"/>
      </c>
      <c r="G25" s="26">
        <f t="shared" si="10"/>
      </c>
      <c r="H25" s="26">
        <f t="shared" si="10"/>
      </c>
      <c r="I25" s="26">
        <f t="shared" si="10"/>
      </c>
      <c r="J25" s="26">
        <f t="shared" si="10"/>
      </c>
      <c r="K25" s="26">
        <f t="shared" si="10"/>
      </c>
      <c r="L25" s="26">
        <f t="shared" si="10"/>
      </c>
      <c r="M25" s="26">
        <f t="shared" si="10"/>
      </c>
    </row>
    <row r="26">
      <c r="A26" s="18" t="s">
        <v>76</v>
      </c>
      <c r="B26" s="21">
        <f t="shared" ref="B26:M26" si="11">IF(OR($B$3="",COLUMN()-1&lt;$B$3,B$14=""),"",SUM(INDEX($B$17:$M$17,$B$3):B$17)+SUM(INDEX($B$10:$M$10,$B$3):B$10))</f>
      </c>
      <c r="C26" s="21">
        <f t="shared" si="11"/>
      </c>
      <c r="D26" s="21">
        <f t="shared" si="11"/>
      </c>
      <c r="E26" s="21">
        <f t="shared" si="11"/>
      </c>
      <c r="F26" s="21">
        <f t="shared" si="11"/>
      </c>
      <c r="G26" s="21">
        <f t="shared" si="11"/>
      </c>
      <c r="H26" s="21">
        <f t="shared" si="11"/>
      </c>
      <c r="I26" s="21">
        <f t="shared" si="11"/>
      </c>
      <c r="J26" s="21">
        <f t="shared" si="11"/>
      </c>
      <c r="K26" s="21">
        <f t="shared" si="11"/>
      </c>
      <c r="L26" s="21">
        <f t="shared" si="11"/>
      </c>
      <c r="M26" s="21">
        <f t="shared" si="11"/>
      </c>
    </row>
    <row r="28">
      <c r="A28" s="4" t="s">
        <v>77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>
      <c r="A29" s="4" t="s">
        <v>78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>
      <c r="A30" s="4" t="s">
        <v>79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</sheetData>
  <conditionalFormatting sqref="O7:O9">
    <cfRule type="cellIs" dxfId="0" priority="1" stopIfTrue="1" operator="equal">
      <formula>"確認"</formula>
    </cfRule>
  </conditionalFormatting>
  <conditionalFormatting sqref="B24:M25">
    <cfRule type="cellIs" dxfId="0" priority="2" stopIfTrue="1" operator="equal">
      <formula>"上限超え"</formula>
    </cfRule>
  </conditionalFormatting>
  <conditionalFormatting sqref="B24:M25">
    <cfRule type="cellIs" dxfId="1" priority="3" stopIfTrue="1" operator="equal">
      <formula>"撤退を検討"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2" max="13" width="7.13"/>
    <col customWidth="1" min="14" max="14" width="8.13"/>
    <col customWidth="1" min="15" max="15" width="11.38"/>
  </cols>
  <sheetData>
    <row r="1">
      <c r="A1" s="1" t="s">
        <v>55</v>
      </c>
      <c r="D1" s="4" t="s">
        <v>4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18</v>
      </c>
      <c r="B2" s="10">
        <f t="array" ref="B2">IF(B3="","計画なし",INDEX($B$6:$M$6,B3))</f>
      </c>
      <c r="C2" s="3" t="s">
        <v>34</v>
      </c>
      <c r="D2" s="10">
        <f t="array" ref="D2">IF(D3="","",IF(D3&gt;12,"今期は判定なし",INDEX($B$6:$M$6,D3)))</f>
      </c>
      <c r="E2" s="3" t="s">
        <v>32</v>
      </c>
      <c r="F2" s="17">
        <f>'はじめに入力'!$I$5</f>
      </c>
    </row>
    <row r="3" hidden="1">
      <c r="A3" s="5" t="s">
        <v>35</v>
      </c>
      <c r="B3" s="10">
        <f t="array" ref="B3">IFERROR(MATCH(TRUE,INDEX($B$7:$M$7&gt;0,0),0),"")</f>
      </c>
      <c r="D3" s="10">
        <f>IF(B3="","",B3+6)</f>
      </c>
      <c r="F3" s="10">
        <f>MATCH($A$1,'はじめに入力'!$A$9:$A$14,0)</f>
      </c>
    </row>
    <row r="4">
      <c r="A4" s="3" t="s">
        <v>51</v>
      </c>
    </row>
    <row r="5">
      <c r="B5" s="19" t="s">
        <v>52</v>
      </c>
    </row>
    <row r="6">
      <c r="A6" s="8" t="s">
        <v>28</v>
      </c>
      <c r="B6" s="15">
        <f>MONTH(EDATE('はじめに入力'!$A$5,0))&amp;"月"</f>
      </c>
      <c r="C6" s="15">
        <f>MONTH(EDATE('はじめに入力'!$A$5,1))&amp;"月"</f>
      </c>
      <c r="D6" s="15">
        <f>MONTH(EDATE('はじめに入力'!$A$5,2))&amp;"月"</f>
      </c>
      <c r="E6" s="15">
        <f>MONTH(EDATE('はじめに入力'!$A$5,3))&amp;"月"</f>
      </c>
      <c r="F6" s="15">
        <f>MONTH(EDATE('はじめに入力'!$A$5,4))&amp;"月"</f>
      </c>
      <c r="G6" s="15">
        <f>MONTH(EDATE('はじめに入力'!$A$5,5))&amp;"月"</f>
      </c>
      <c r="H6" s="15">
        <f>MONTH(EDATE('はじめに入力'!$A$5,6))&amp;"月"</f>
      </c>
      <c r="I6" s="15">
        <f>MONTH(EDATE('はじめに入力'!$A$5,7))&amp;"月"</f>
      </c>
      <c r="J6" s="15">
        <f>MONTH(EDATE('はじめに入力'!$A$5,8))&amp;"月"</f>
      </c>
      <c r="K6" s="15">
        <f>MONTH(EDATE('はじめに入力'!$A$5,9))&amp;"月"</f>
      </c>
      <c r="L6" s="15">
        <f>MONTH(EDATE('はじめに入力'!$A$5,10))&amp;"月"</f>
      </c>
      <c r="M6" s="15">
        <f>MONTH(EDATE('はじめに入力'!$A$5,11))&amp;"月"</f>
      </c>
      <c r="N6" s="23" t="s">
        <v>54</v>
      </c>
      <c r="O6" s="23" t="s">
        <v>56</v>
      </c>
    </row>
    <row r="7">
      <c r="A7" s="18" t="s">
        <v>38</v>
      </c>
      <c r="B7" s="11">
        <v>5.0</v>
      </c>
      <c r="C7" s="11">
        <v>9.0</v>
      </c>
      <c r="D7" s="11">
        <v>9.0</v>
      </c>
      <c r="E7" s="11">
        <v>9.0</v>
      </c>
      <c r="F7" s="11">
        <v>9.0</v>
      </c>
      <c r="G7" s="11">
        <v>9.0</v>
      </c>
      <c r="H7" s="11">
        <v>9.0</v>
      </c>
      <c r="I7" s="11">
        <v>9.0</v>
      </c>
      <c r="J7" s="11">
        <v>10.0</v>
      </c>
      <c r="K7" s="11">
        <v>6.0</v>
      </c>
      <c r="L7" s="11">
        <v>6.0</v>
      </c>
      <c r="M7" s="11">
        <v>5.0</v>
      </c>
      <c r="N7" s="21">
        <f t="shared" ref="N7:N10" si="1">SUM(B7:M7)</f>
      </c>
      <c r="O7" s="26">
        <f t="array" ref="O7">IF(N7=INDEX('はじめに入力'!$B$9:$B$14,$F$3),"一致","確認")</f>
      </c>
    </row>
    <row r="8">
      <c r="A8" s="18" t="s">
        <v>40</v>
      </c>
      <c r="B8" s="11">
        <v>2.0</v>
      </c>
      <c r="C8" s="11">
        <v>4.0</v>
      </c>
      <c r="D8" s="11">
        <v>4.0</v>
      </c>
      <c r="E8" s="11">
        <v>4.0</v>
      </c>
      <c r="F8" s="11">
        <v>4.0</v>
      </c>
      <c r="G8" s="11">
        <v>4.0</v>
      </c>
      <c r="H8" s="11">
        <v>4.0</v>
      </c>
      <c r="I8" s="11">
        <v>4.0</v>
      </c>
      <c r="J8" s="11">
        <v>5.0</v>
      </c>
      <c r="K8" s="11">
        <v>3.0</v>
      </c>
      <c r="L8" s="11">
        <v>3.0</v>
      </c>
      <c r="M8" s="11">
        <v>2.0</v>
      </c>
      <c r="N8" s="21">
        <f t="shared" si="1"/>
      </c>
      <c r="O8" s="26">
        <f t="array" ref="O8">IF(N8=INDEX('はじめに入力'!$D$9:$D$14,$F$3),"一致","確認")</f>
      </c>
    </row>
    <row r="9">
      <c r="A9" s="18" t="s">
        <v>46</v>
      </c>
      <c r="B9" s="27">
        <f t="array" ref="B9">INDEX('はじめに入力'!$J$9:$J$14,$F$3)/12</f>
      </c>
      <c r="C9" s="27">
        <f t="array" ref="C9">INDEX('はじめに入力'!$J$9:$J$14,$F$3)/12</f>
      </c>
      <c r="D9" s="27">
        <f t="array" ref="D9">INDEX('はじめに入力'!$J$9:$J$14,$F$3)/12</f>
      </c>
      <c r="E9" s="27">
        <f t="array" ref="E9">INDEX('はじめに入力'!$J$9:$J$14,$F$3)/12</f>
      </c>
      <c r="F9" s="27">
        <f t="array" ref="F9">INDEX('はじめに入力'!$J$9:$J$14,$F$3)/12</f>
      </c>
      <c r="G9" s="27">
        <f t="array" ref="G9">INDEX('はじめに入力'!$J$9:$J$14,$F$3)/12</f>
      </c>
      <c r="H9" s="27">
        <f t="array" ref="H9">INDEX('はじめに入力'!$J$9:$J$14,$F$3)/12</f>
      </c>
      <c r="I9" s="27">
        <f t="array" ref="I9">INDEX('はじめに入力'!$J$9:$J$14,$F$3)/12</f>
      </c>
      <c r="J9" s="27">
        <f t="array" ref="J9">INDEX('はじめに入力'!$J$9:$J$14,$F$3)/12</f>
      </c>
      <c r="K9" s="27">
        <f t="array" ref="K9">INDEX('はじめに入力'!$J$9:$J$14,$F$3)/12</f>
      </c>
      <c r="L9" s="27">
        <f t="array" ref="L9">INDEX('はじめに入力'!$J$9:$J$14,$F$3)/12</f>
      </c>
      <c r="M9" s="27">
        <f t="array" ref="M9">INDEX('はじめに入力'!$J$9:$J$14,$F$3)/12</f>
      </c>
      <c r="N9" s="30">
        <f t="shared" si="1"/>
      </c>
      <c r="O9" s="26">
        <f t="array" ref="O9">IF(ROUND(N9,1)=ROUND(INDEX('はじめに入力'!$J$9:$J$14,$F$3),1),"一致","確認")</f>
      </c>
    </row>
    <row r="10">
      <c r="A10" s="18" t="s">
        <v>47</v>
      </c>
      <c r="B10" s="30">
        <f t="array" ref="B10">INDEX('はじめに入力'!$K$9:$K$14,$F$3)/12</f>
      </c>
      <c r="C10" s="30">
        <f t="array" ref="C10">INDEX('はじめに入力'!$K$9:$K$14,$F$3)/12</f>
      </c>
      <c r="D10" s="30">
        <f t="array" ref="D10">INDEX('はじめに入力'!$K$9:$K$14,$F$3)/12</f>
      </c>
      <c r="E10" s="30">
        <f t="array" ref="E10">INDEX('はじめに入力'!$K$9:$K$14,$F$3)/12</f>
      </c>
      <c r="F10" s="30">
        <f t="array" ref="F10">INDEX('はじめに入力'!$K$9:$K$14,$F$3)/12</f>
      </c>
      <c r="G10" s="30">
        <f t="array" ref="G10">INDEX('はじめに入力'!$K$9:$K$14,$F$3)/12</f>
      </c>
      <c r="H10" s="30">
        <f t="array" ref="H10">INDEX('はじめに入力'!$K$9:$K$14,$F$3)/12</f>
      </c>
      <c r="I10" s="30">
        <f t="array" ref="I10">INDEX('はじめに入力'!$K$9:$K$14,$F$3)/12</f>
      </c>
      <c r="J10" s="30">
        <f t="array" ref="J10">INDEX('はじめに入力'!$K$9:$K$14,$F$3)/12</f>
      </c>
      <c r="K10" s="30">
        <f t="array" ref="K10">INDEX('はじめに入力'!$K$9:$K$14,$F$3)/12</f>
      </c>
      <c r="L10" s="30">
        <f t="array" ref="L10">INDEX('はじめに入力'!$K$9:$K$14,$F$3)/12</f>
      </c>
      <c r="M10" s="30">
        <f t="array" ref="M10">INDEX('はじめに入力'!$K$9:$K$14,$F$3)/12</f>
      </c>
      <c r="N10" s="30">
        <f t="shared" si="1"/>
      </c>
      <c r="O10" s="24"/>
    </row>
    <row r="12">
      <c r="A12" s="3" t="s">
        <v>68</v>
      </c>
    </row>
    <row r="13">
      <c r="A13" s="47" t="s">
        <v>28</v>
      </c>
      <c r="B13" s="15">
        <f t="shared" ref="B13:M13" si="2">B$6</f>
      </c>
      <c r="C13" s="15">
        <f t="shared" si="2"/>
      </c>
      <c r="D13" s="15">
        <f t="shared" si="2"/>
      </c>
      <c r="E13" s="15">
        <f t="shared" si="2"/>
      </c>
      <c r="F13" s="15">
        <f t="shared" si="2"/>
      </c>
      <c r="G13" s="15">
        <f t="shared" si="2"/>
      </c>
      <c r="H13" s="15">
        <f t="shared" si="2"/>
      </c>
      <c r="I13" s="15">
        <f t="shared" si="2"/>
      </c>
      <c r="J13" s="15">
        <f t="shared" si="2"/>
      </c>
      <c r="K13" s="15">
        <f t="shared" si="2"/>
      </c>
      <c r="L13" s="15">
        <f t="shared" si="2"/>
      </c>
      <c r="M13" s="15">
        <f t="shared" si="2"/>
      </c>
      <c r="N13" s="23" t="s">
        <v>54</v>
      </c>
    </row>
    <row r="14">
      <c r="A14" s="18" t="s">
        <v>38</v>
      </c>
      <c r="B14" s="53">
        <f t="array" ref="B14">IF(INDEX('毎月の実績入力'!C$12:C$45,($F$3-1)*6+1)="","",INDEX('毎月の実績入力'!C$12:C$45,($F$3-1)*6+1))</f>
      </c>
      <c r="C14" s="53">
        <f t="array" ref="C14">IF(INDEX('毎月の実績入力'!D$12:D$45,($F$3-1)*6+1)="","",INDEX('毎月の実績入力'!D$12:D$45,($F$3-1)*6+1))</f>
      </c>
      <c r="D14" s="53">
        <f t="array" ref="D14">IF(INDEX('毎月の実績入力'!E$12:E$45,($F$3-1)*6+1)="","",INDEX('毎月の実績入力'!E$12:E$45,($F$3-1)*6+1))</f>
      </c>
      <c r="E14" s="53">
        <f t="array" ref="E14">IF(INDEX('毎月の実績入力'!F$12:F$45,($F$3-1)*6+1)="","",INDEX('毎月の実績入力'!F$12:F$45,($F$3-1)*6+1))</f>
      </c>
      <c r="F14" s="53">
        <f t="array" ref="F14">IF(INDEX('毎月の実績入力'!G$12:G$45,($F$3-1)*6+1)="","",INDEX('毎月の実績入力'!G$12:G$45,($F$3-1)*6+1))</f>
      </c>
      <c r="G14" s="53">
        <f t="array" ref="G14">IF(INDEX('毎月の実績入力'!H$12:H$45,($F$3-1)*6+1)="","",INDEX('毎月の実績入力'!H$12:H$45,($F$3-1)*6+1))</f>
      </c>
      <c r="H14" s="53">
        <f t="array" ref="H14">IF(INDEX('毎月の実績入力'!I$12:I$45,($F$3-1)*6+1)="","",INDEX('毎月の実績入力'!I$12:I$45,($F$3-1)*6+1))</f>
      </c>
      <c r="I14" s="54">
        <f t="array" ref="I14">IF(INDEX('毎月の実績入力'!J$12:J$45,($F$3-1)*6+1)="","",INDEX('毎月の実績入力'!J$12:J$45,($F$3-1)*6+1))</f>
      </c>
      <c r="J14" s="54">
        <f t="array" ref="J14">IF(INDEX('毎月の実績入力'!K$12:K$45,($F$3-1)*6+1)="","",INDEX('毎月の実績入力'!K$12:K$45,($F$3-1)*6+1))</f>
      </c>
      <c r="K14" s="54">
        <f t="array" ref="K14">IF(INDEX('毎月の実績入力'!L$12:L$45,($F$3-1)*6+1)="","",INDEX('毎月の実績入力'!L$12:L$45,($F$3-1)*6+1))</f>
      </c>
      <c r="L14" s="54">
        <f t="array" ref="L14">IF(INDEX('毎月の実績入力'!M$12:M$45,($F$3-1)*6+1)="","",INDEX('毎月の実績入力'!M$12:M$45,($F$3-1)*6+1))</f>
      </c>
      <c r="M14" s="54">
        <f t="array" ref="M14">IF(INDEX('毎月の実績入力'!N$12:N$45,($F$3-1)*6+1)="","",INDEX('毎月の実績入力'!N$12:N$45,($F$3-1)*6+1))</f>
      </c>
      <c r="N14" s="54">
        <f>SUM(B14:M14)</f>
      </c>
    </row>
    <row r="15">
      <c r="A15" s="18" t="s">
        <v>39</v>
      </c>
      <c r="B15" s="55">
        <f t="shared" ref="B15:M15" si="3">IF(OR(B14="",B16=""),"",IFERROR(B16/B14,""))</f>
      </c>
      <c r="C15" s="55">
        <f t="shared" si="3"/>
      </c>
      <c r="D15" s="55">
        <f t="shared" si="3"/>
      </c>
      <c r="E15" s="55">
        <f t="shared" si="3"/>
      </c>
      <c r="F15" s="55">
        <f t="shared" si="3"/>
      </c>
      <c r="G15" s="55">
        <f t="shared" si="3"/>
      </c>
      <c r="H15" s="55">
        <f t="shared" si="3"/>
      </c>
      <c r="I15" s="55">
        <f t="shared" si="3"/>
      </c>
      <c r="J15" s="55">
        <f t="shared" si="3"/>
      </c>
      <c r="K15" s="55">
        <f t="shared" si="3"/>
      </c>
      <c r="L15" s="55">
        <f t="shared" si="3"/>
      </c>
      <c r="M15" s="55">
        <f t="shared" si="3"/>
      </c>
      <c r="N15" s="55">
        <f>IFERROR(N16/N14,"")</f>
      </c>
    </row>
    <row r="16">
      <c r="A16" s="18" t="s">
        <v>40</v>
      </c>
      <c r="B16" s="53">
        <f t="array" ref="B16">IF(INDEX('毎月の実績入力'!C$12:C$45,($F$3-1)*6+2)="","",INDEX('毎月の実績入力'!C$12:C$45,($F$3-1)*6+2))</f>
      </c>
      <c r="C16" s="53">
        <f t="array" ref="C16">IF(INDEX('毎月の実績入力'!D$12:D$45,($F$3-1)*6+2)="","",INDEX('毎月の実績入力'!D$12:D$45,($F$3-1)*6+2))</f>
      </c>
      <c r="D16" s="53">
        <f t="array" ref="D16">IF(INDEX('毎月の実績入力'!E$12:E$45,($F$3-1)*6+2)="","",INDEX('毎月の実績入力'!E$12:E$45,($F$3-1)*6+2))</f>
      </c>
      <c r="E16" s="53">
        <f t="array" ref="E16">IF(INDEX('毎月の実績入力'!F$12:F$45,($F$3-1)*6+2)="","",INDEX('毎月の実績入力'!F$12:F$45,($F$3-1)*6+2))</f>
      </c>
      <c r="F16" s="53">
        <f t="array" ref="F16">IF(INDEX('毎月の実績入力'!G$12:G$45,($F$3-1)*6+2)="","",INDEX('毎月の実績入力'!G$12:G$45,($F$3-1)*6+2))</f>
      </c>
      <c r="G16" s="53">
        <f t="array" ref="G16">IF(INDEX('毎月の実績入力'!H$12:H$45,($F$3-1)*6+2)="","",INDEX('毎月の実績入力'!H$12:H$45,($F$3-1)*6+2))</f>
      </c>
      <c r="H16" s="53">
        <f t="array" ref="H16">IF(INDEX('毎月の実績入力'!I$12:I$45,($F$3-1)*6+2)="","",INDEX('毎月の実績入力'!I$12:I$45,($F$3-1)*6+2))</f>
      </c>
      <c r="I16" s="54">
        <f t="array" ref="I16">IF(INDEX('毎月の実績入力'!J$12:J$45,($F$3-1)*6+2)="","",INDEX('毎月の実績入力'!J$12:J$45,($F$3-1)*6+2))</f>
      </c>
      <c r="J16" s="54">
        <f t="array" ref="J16">IF(INDEX('毎月の実績入力'!K$12:K$45,($F$3-1)*6+2)="","",INDEX('毎月の実績入力'!K$12:K$45,($F$3-1)*6+2))</f>
      </c>
      <c r="K16" s="54">
        <f t="array" ref="K16">IF(INDEX('毎月の実績入力'!L$12:L$45,($F$3-1)*6+2)="","",INDEX('毎月の実績入力'!L$12:L$45,($F$3-1)*6+2))</f>
      </c>
      <c r="L16" s="54">
        <f t="array" ref="L16">IF(INDEX('毎月の実績入力'!M$12:M$45,($F$3-1)*6+2)="","",INDEX('毎月の実績入力'!M$12:M$45,($F$3-1)*6+2))</f>
      </c>
      <c r="M16" s="54">
        <f t="array" ref="M16">IF(INDEX('毎月の実績入力'!N$12:N$45,($F$3-1)*6+2)="","",INDEX('毎月の実績入力'!N$12:N$45,($F$3-1)*6+2))</f>
      </c>
      <c r="N16" s="54">
        <f t="shared" ref="N16:N17" si="4">SUM(B16:M16)</f>
      </c>
    </row>
    <row r="17">
      <c r="A17" s="18" t="s">
        <v>46</v>
      </c>
      <c r="B17" s="53">
        <f t="array" ref="B17">IF(INDEX('毎月の実績入力'!C$12:C$45,($F$3-1)*6+3)="","",INDEX('毎月の実績入力'!C$12:C$45,($F$3-1)*6+3))</f>
      </c>
      <c r="C17" s="53">
        <f t="array" ref="C17">IF(INDEX('毎月の実績入力'!D$12:D$45,($F$3-1)*6+3)="","",INDEX('毎月の実績入力'!D$12:D$45,($F$3-1)*6+3))</f>
      </c>
      <c r="D17" s="53">
        <f t="array" ref="D17">IF(INDEX('毎月の実績入力'!E$12:E$45,($F$3-1)*6+3)="","",INDEX('毎月の実績入力'!E$12:E$45,($F$3-1)*6+3))</f>
      </c>
      <c r="E17" s="53">
        <f t="array" ref="E17">IF(INDEX('毎月の実績入力'!F$12:F$45,($F$3-1)*6+3)="","",INDEX('毎月の実績入力'!F$12:F$45,($F$3-1)*6+3))</f>
      </c>
      <c r="F17" s="53">
        <f t="array" ref="F17">IF(INDEX('毎月の実績入力'!G$12:G$45,($F$3-1)*6+3)="","",INDEX('毎月の実績入力'!G$12:G$45,($F$3-1)*6+3))</f>
      </c>
      <c r="G17" s="53">
        <f t="array" ref="G17">IF(INDEX('毎月の実績入力'!H$12:H$45,($F$3-1)*6+3)="","",INDEX('毎月の実績入力'!H$12:H$45,($F$3-1)*6+3))</f>
      </c>
      <c r="H17" s="53">
        <f t="array" ref="H17">IF(INDEX('毎月の実績入力'!I$12:I$45,($F$3-1)*6+3)="","",INDEX('毎月の実績入力'!I$12:I$45,($F$3-1)*6+3))</f>
      </c>
      <c r="I17" s="54">
        <f t="array" ref="I17">IF(INDEX('毎月の実績入力'!J$12:J$45,($F$3-1)*6+3)="","",INDEX('毎月の実績入力'!J$12:J$45,($F$3-1)*6+3))</f>
      </c>
      <c r="J17" s="54">
        <f t="array" ref="J17">IF(INDEX('毎月の実績入力'!K$12:K$45,($F$3-1)*6+3)="","",INDEX('毎月の実績入力'!K$12:K$45,($F$3-1)*6+3))</f>
      </c>
      <c r="K17" s="54">
        <f t="array" ref="K17">IF(INDEX('毎月の実績入力'!L$12:L$45,($F$3-1)*6+3)="","",INDEX('毎月の実績入力'!L$12:L$45,($F$3-1)*6+3))</f>
      </c>
      <c r="L17" s="54">
        <f t="array" ref="L17">IF(INDEX('毎月の実績入力'!M$12:M$45,($F$3-1)*6+3)="","",INDEX('毎月の実績入力'!M$12:M$45,($F$3-1)*6+3))</f>
      </c>
      <c r="M17" s="54">
        <f t="array" ref="M17">IF(INDEX('毎月の実績入力'!N$12:N$45,($F$3-1)*6+3)="","",INDEX('毎月の実績入力'!N$12:N$45,($F$3-1)*6+3))</f>
      </c>
      <c r="N17" s="54">
        <f t="shared" si="4"/>
      </c>
    </row>
    <row r="19">
      <c r="A19" s="3" t="s">
        <v>72</v>
      </c>
    </row>
    <row r="20">
      <c r="A20" s="8" t="s">
        <v>28</v>
      </c>
      <c r="B20" s="15">
        <f t="shared" ref="B20:M20" si="5">B$6</f>
      </c>
      <c r="C20" s="15">
        <f t="shared" si="5"/>
      </c>
      <c r="D20" s="15">
        <f t="shared" si="5"/>
      </c>
      <c r="E20" s="15">
        <f t="shared" si="5"/>
      </c>
      <c r="F20" s="15">
        <f t="shared" si="5"/>
      </c>
      <c r="G20" s="15">
        <f t="shared" si="5"/>
      </c>
      <c r="H20" s="15">
        <f t="shared" si="5"/>
      </c>
      <c r="I20" s="15">
        <f t="shared" si="5"/>
      </c>
      <c r="J20" s="15">
        <f t="shared" si="5"/>
      </c>
      <c r="K20" s="15">
        <f t="shared" si="5"/>
      </c>
      <c r="L20" s="15">
        <f t="shared" si="5"/>
      </c>
      <c r="M20" s="15">
        <f t="shared" si="5"/>
      </c>
    </row>
    <row r="21">
      <c r="A21" s="18" t="s">
        <v>73</v>
      </c>
      <c r="B21" s="20">
        <f t="shared" ref="B21:M21" si="6">IF(B26="","",IFERROR(SUM(INDEX($B$14:$M$14,$B$3):B$14)/SUM(INDEX($B$7:$M$7,$B$3):B$7),""))</f>
      </c>
      <c r="C21" s="20">
        <f t="shared" si="6"/>
      </c>
      <c r="D21" s="20">
        <f t="shared" si="6"/>
      </c>
      <c r="E21" s="20">
        <f t="shared" si="6"/>
      </c>
      <c r="F21" s="20">
        <f t="shared" si="6"/>
      </c>
      <c r="G21" s="20">
        <f t="shared" si="6"/>
      </c>
      <c r="H21" s="20">
        <f t="shared" si="6"/>
      </c>
      <c r="I21" s="20">
        <f t="shared" si="6"/>
      </c>
      <c r="J21" s="20">
        <f t="shared" si="6"/>
      </c>
      <c r="K21" s="20">
        <f t="shared" si="6"/>
      </c>
      <c r="L21" s="20">
        <f t="shared" si="6"/>
      </c>
      <c r="M21" s="20">
        <f t="shared" si="6"/>
      </c>
    </row>
    <row r="22">
      <c r="A22" s="18" t="s">
        <v>74</v>
      </c>
      <c r="B22" s="20">
        <f t="shared" ref="B22:M22" si="7">IF(B26="","",IFERROR(SUM(INDEX($B$16:$M$16,$B$3):B$16)/SUM(INDEX($B$8:$M$8,$B$3):B$8),""))</f>
      </c>
      <c r="C22" s="20">
        <f t="shared" si="7"/>
      </c>
      <c r="D22" s="20">
        <f t="shared" si="7"/>
      </c>
      <c r="E22" s="20">
        <f t="shared" si="7"/>
      </c>
      <c r="F22" s="20">
        <f t="shared" si="7"/>
      </c>
      <c r="G22" s="20">
        <f t="shared" si="7"/>
      </c>
      <c r="H22" s="20">
        <f t="shared" si="7"/>
      </c>
      <c r="I22" s="20">
        <f t="shared" si="7"/>
      </c>
      <c r="J22" s="20">
        <f t="shared" si="7"/>
      </c>
      <c r="K22" s="20">
        <f t="shared" si="7"/>
      </c>
      <c r="L22" s="20">
        <f t="shared" si="7"/>
      </c>
      <c r="M22" s="20">
        <f t="shared" si="7"/>
      </c>
    </row>
    <row r="23">
      <c r="A23" s="18" t="s">
        <v>48</v>
      </c>
      <c r="B23" s="16">
        <f t="shared" ref="B23:M23" si="8">IF(B26="","",IFERROR(B26/SUM(INDEX($B$14:$M$14,$B$3):B$14),"―"))</f>
      </c>
      <c r="C23" s="16">
        <f t="shared" si="8"/>
      </c>
      <c r="D23" s="16">
        <f t="shared" si="8"/>
      </c>
      <c r="E23" s="16">
        <f t="shared" si="8"/>
      </c>
      <c r="F23" s="16">
        <f t="shared" si="8"/>
      </c>
      <c r="G23" s="16">
        <f t="shared" si="8"/>
      </c>
      <c r="H23" s="16">
        <f t="shared" si="8"/>
      </c>
      <c r="I23" s="16">
        <f t="shared" si="8"/>
      </c>
      <c r="J23" s="16">
        <f t="shared" si="8"/>
      </c>
      <c r="K23" s="16">
        <f t="shared" si="8"/>
      </c>
      <c r="L23" s="16">
        <f t="shared" si="8"/>
      </c>
      <c r="M23" s="16">
        <f t="shared" si="8"/>
      </c>
    </row>
    <row r="24">
      <c r="A24" s="18" t="s">
        <v>70</v>
      </c>
      <c r="B24" s="26">
        <f t="shared" ref="B24:M24" si="9">IF(B26="","",IF(SUM(INDEX($B$17:$M$17,$B$3):B$17)=0,"費用なし",IF(OR(B23="―",B23&gt;$F$2),"上限超え","上限内")))</f>
      </c>
      <c r="C24" s="26">
        <f t="shared" si="9"/>
      </c>
      <c r="D24" s="26">
        <f t="shared" si="9"/>
      </c>
      <c r="E24" s="26">
        <f t="shared" si="9"/>
      </c>
      <c r="F24" s="26">
        <f t="shared" si="9"/>
      </c>
      <c r="G24" s="26">
        <f t="shared" si="9"/>
      </c>
      <c r="H24" s="26">
        <f t="shared" si="9"/>
      </c>
      <c r="I24" s="26">
        <f t="shared" si="9"/>
      </c>
      <c r="J24" s="26">
        <f t="shared" si="9"/>
      </c>
      <c r="K24" s="26">
        <f t="shared" si="9"/>
      </c>
      <c r="L24" s="26">
        <f t="shared" si="9"/>
      </c>
      <c r="M24" s="26">
        <f t="shared" si="9"/>
      </c>
    </row>
    <row r="25">
      <c r="A25" s="18" t="s">
        <v>75</v>
      </c>
      <c r="B25" s="26">
        <f t="shared" ref="B25:M25" si="10">IF(B26="","",IF(COLUMN()-1&lt;$D$3,"判定前",IF(B24="費用なし","判定しない",IF(AND(B24="上限超え",B21&lt;0.9),"撤退を検討","なし"))))</f>
      </c>
      <c r="C25" s="26">
        <f t="shared" si="10"/>
      </c>
      <c r="D25" s="26">
        <f t="shared" si="10"/>
      </c>
      <c r="E25" s="26">
        <f t="shared" si="10"/>
      </c>
      <c r="F25" s="26">
        <f t="shared" si="10"/>
      </c>
      <c r="G25" s="26">
        <f t="shared" si="10"/>
      </c>
      <c r="H25" s="26">
        <f t="shared" si="10"/>
      </c>
      <c r="I25" s="26">
        <f t="shared" si="10"/>
      </c>
      <c r="J25" s="26">
        <f t="shared" si="10"/>
      </c>
      <c r="K25" s="26">
        <f t="shared" si="10"/>
      </c>
      <c r="L25" s="26">
        <f t="shared" si="10"/>
      </c>
      <c r="M25" s="26">
        <f t="shared" si="10"/>
      </c>
    </row>
    <row r="26">
      <c r="A26" s="18" t="s">
        <v>76</v>
      </c>
      <c r="B26" s="21">
        <f t="shared" ref="B26:M26" si="11">IF(OR($B$3="",COLUMN()-1&lt;$B$3,B$14=""),"",SUM(INDEX($B$17:$M$17,$B$3):B$17)+SUM(INDEX($B$10:$M$10,$B$3):B$10))</f>
      </c>
      <c r="C26" s="21">
        <f t="shared" si="11"/>
      </c>
      <c r="D26" s="21">
        <f t="shared" si="11"/>
      </c>
      <c r="E26" s="21">
        <f t="shared" si="11"/>
      </c>
      <c r="F26" s="21">
        <f t="shared" si="11"/>
      </c>
      <c r="G26" s="21">
        <f t="shared" si="11"/>
      </c>
      <c r="H26" s="21">
        <f t="shared" si="11"/>
      </c>
      <c r="I26" s="21">
        <f t="shared" si="11"/>
      </c>
      <c r="J26" s="21">
        <f t="shared" si="11"/>
      </c>
      <c r="K26" s="21">
        <f t="shared" si="11"/>
      </c>
      <c r="L26" s="21">
        <f t="shared" si="11"/>
      </c>
      <c r="M26" s="21">
        <f t="shared" si="11"/>
      </c>
    </row>
    <row r="28">
      <c r="A28" s="4" t="s">
        <v>77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>
      <c r="A29" s="4" t="s">
        <v>78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>
      <c r="A30" s="4" t="s">
        <v>79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</sheetData>
  <conditionalFormatting sqref="O7:O9">
    <cfRule type="cellIs" dxfId="0" priority="1" stopIfTrue="1" operator="equal">
      <formula>"確認"</formula>
    </cfRule>
  </conditionalFormatting>
  <conditionalFormatting sqref="B24:M25">
    <cfRule type="cellIs" dxfId="0" priority="2" stopIfTrue="1" operator="equal">
      <formula>"上限超え"</formula>
    </cfRule>
  </conditionalFormatting>
  <conditionalFormatting sqref="B24:M25">
    <cfRule type="cellIs" dxfId="1" priority="3" stopIfTrue="1" operator="equal">
      <formula>"撤退を検討"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2" max="13" width="7.13"/>
    <col customWidth="1" min="14" max="14" width="8.13"/>
    <col customWidth="1" min="15" max="15" width="11.38"/>
  </cols>
  <sheetData>
    <row r="1">
      <c r="A1" s="1" t="s">
        <v>57</v>
      </c>
      <c r="D1" s="4" t="s">
        <v>4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18</v>
      </c>
      <c r="B2" s="10">
        <f t="array" ref="B2">IF(B3="","計画なし",INDEX($B$6:$M$6,B3))</f>
      </c>
      <c r="C2" s="3" t="s">
        <v>34</v>
      </c>
      <c r="D2" s="10">
        <f t="array" ref="D2">IF(D3="","",IF(D3&gt;12,"今期は判定なし",INDEX($B$6:$M$6,D3)))</f>
      </c>
      <c r="E2" s="3" t="s">
        <v>32</v>
      </c>
      <c r="F2" s="17">
        <f>'はじめに入力'!$I$5</f>
      </c>
    </row>
    <row r="3" hidden="1">
      <c r="A3" s="5" t="s">
        <v>35</v>
      </c>
      <c r="B3" s="10">
        <f t="array" ref="B3">IFERROR(MATCH(TRUE,INDEX($B$7:$M$7&gt;0,0),0),"")</f>
      </c>
      <c r="D3" s="10">
        <f>IF(B3="","",B3+6)</f>
      </c>
      <c r="F3" s="10">
        <f>MATCH($A$1,'はじめに入力'!$A$9:$A$14,0)</f>
      </c>
    </row>
    <row r="4">
      <c r="A4" s="3" t="s">
        <v>51</v>
      </c>
    </row>
    <row r="5">
      <c r="B5" s="19" t="s">
        <v>52</v>
      </c>
    </row>
    <row r="6">
      <c r="A6" s="8" t="s">
        <v>28</v>
      </c>
      <c r="B6" s="15">
        <f>MONTH(EDATE('はじめに入力'!$A$5,0))&amp;"月"</f>
      </c>
      <c r="C6" s="15">
        <f>MONTH(EDATE('はじめに入力'!$A$5,1))&amp;"月"</f>
      </c>
      <c r="D6" s="15">
        <f>MONTH(EDATE('はじめに入力'!$A$5,2))&amp;"月"</f>
      </c>
      <c r="E6" s="15">
        <f>MONTH(EDATE('はじめに入力'!$A$5,3))&amp;"月"</f>
      </c>
      <c r="F6" s="15">
        <f>MONTH(EDATE('はじめに入力'!$A$5,4))&amp;"月"</f>
      </c>
      <c r="G6" s="15">
        <f>MONTH(EDATE('はじめに入力'!$A$5,5))&amp;"月"</f>
      </c>
      <c r="H6" s="15">
        <f>MONTH(EDATE('はじめに入力'!$A$5,6))&amp;"月"</f>
      </c>
      <c r="I6" s="15">
        <f>MONTH(EDATE('はじめに入力'!$A$5,7))&amp;"月"</f>
      </c>
      <c r="J6" s="15">
        <f>MONTH(EDATE('はじめに入力'!$A$5,8))&amp;"月"</f>
      </c>
      <c r="K6" s="15">
        <f>MONTH(EDATE('はじめに入力'!$A$5,9))&amp;"月"</f>
      </c>
      <c r="L6" s="15">
        <f>MONTH(EDATE('はじめに入力'!$A$5,10))&amp;"月"</f>
      </c>
      <c r="M6" s="15">
        <f>MONTH(EDATE('はじめに入力'!$A$5,11))&amp;"月"</f>
      </c>
      <c r="N6" s="23" t="s">
        <v>54</v>
      </c>
      <c r="O6" s="23" t="s">
        <v>56</v>
      </c>
    </row>
    <row r="7">
      <c r="A7" s="18" t="s">
        <v>38</v>
      </c>
      <c r="B7" s="11">
        <v>6.0</v>
      </c>
      <c r="C7" s="11">
        <v>5.0</v>
      </c>
      <c r="D7" s="11">
        <v>6.0</v>
      </c>
      <c r="E7" s="11">
        <v>5.0</v>
      </c>
      <c r="F7" s="11">
        <v>6.0</v>
      </c>
      <c r="G7" s="11">
        <v>10.0</v>
      </c>
      <c r="H7" s="11">
        <v>10.0</v>
      </c>
      <c r="I7" s="11">
        <v>8.0</v>
      </c>
      <c r="J7" s="11">
        <v>7.0</v>
      </c>
      <c r="K7" s="11">
        <v>8.0</v>
      </c>
      <c r="L7" s="11">
        <v>10.0</v>
      </c>
      <c r="M7" s="11">
        <v>9.0</v>
      </c>
      <c r="N7" s="21">
        <f t="shared" ref="N7:N10" si="1">SUM(B7:M7)</f>
      </c>
      <c r="O7" s="26">
        <f t="array" ref="O7">IF(N7=INDEX('はじめに入力'!$B$9:$B$14,$F$3),"一致","確認")</f>
      </c>
    </row>
    <row r="8">
      <c r="A8" s="18" t="s">
        <v>40</v>
      </c>
      <c r="B8" s="11">
        <v>2.0</v>
      </c>
      <c r="C8" s="11">
        <v>2.0</v>
      </c>
      <c r="D8" s="11">
        <v>2.0</v>
      </c>
      <c r="E8" s="11">
        <v>2.0</v>
      </c>
      <c r="F8" s="11">
        <v>2.0</v>
      </c>
      <c r="G8" s="11">
        <v>4.0</v>
      </c>
      <c r="H8" s="11">
        <v>4.0</v>
      </c>
      <c r="I8" s="11">
        <v>3.0</v>
      </c>
      <c r="J8" s="11">
        <v>3.0</v>
      </c>
      <c r="K8" s="11">
        <v>3.0</v>
      </c>
      <c r="L8" s="11">
        <v>4.0</v>
      </c>
      <c r="M8" s="11">
        <v>3.0</v>
      </c>
      <c r="N8" s="21">
        <f t="shared" si="1"/>
      </c>
      <c r="O8" s="26">
        <f t="array" ref="O8">IF(N8=INDEX('はじめに入力'!$D$9:$D$14,$F$3),"一致","確認")</f>
      </c>
    </row>
    <row r="9">
      <c r="A9" s="18" t="s">
        <v>46</v>
      </c>
      <c r="B9" s="27">
        <f t="array" ref="B9">INDEX('はじめに入力'!$J$9:$J$14,$F$3)/12</f>
      </c>
      <c r="C9" s="27">
        <f t="array" ref="C9">INDEX('はじめに入力'!$J$9:$J$14,$F$3)/12</f>
      </c>
      <c r="D9" s="27">
        <f t="array" ref="D9">INDEX('はじめに入力'!$J$9:$J$14,$F$3)/12</f>
      </c>
      <c r="E9" s="27">
        <f t="array" ref="E9">INDEX('はじめに入力'!$J$9:$J$14,$F$3)/12</f>
      </c>
      <c r="F9" s="27">
        <f t="array" ref="F9">INDEX('はじめに入力'!$J$9:$J$14,$F$3)/12</f>
      </c>
      <c r="G9" s="27">
        <f t="array" ref="G9">INDEX('はじめに入力'!$J$9:$J$14,$F$3)/12</f>
      </c>
      <c r="H9" s="27">
        <f t="array" ref="H9">INDEX('はじめに入力'!$J$9:$J$14,$F$3)/12</f>
      </c>
      <c r="I9" s="27">
        <f t="array" ref="I9">INDEX('はじめに入力'!$J$9:$J$14,$F$3)/12</f>
      </c>
      <c r="J9" s="27">
        <f t="array" ref="J9">INDEX('はじめに入力'!$J$9:$J$14,$F$3)/12</f>
      </c>
      <c r="K9" s="27">
        <f t="array" ref="K9">INDEX('はじめに入力'!$J$9:$J$14,$F$3)/12</f>
      </c>
      <c r="L9" s="27">
        <f t="array" ref="L9">INDEX('はじめに入力'!$J$9:$J$14,$F$3)/12</f>
      </c>
      <c r="M9" s="27">
        <f t="array" ref="M9">INDEX('はじめに入力'!$J$9:$J$14,$F$3)/12</f>
      </c>
      <c r="N9" s="30">
        <f t="shared" si="1"/>
      </c>
      <c r="O9" s="26">
        <f t="array" ref="O9">IF(ROUND(N9,1)=ROUND(INDEX('はじめに入力'!$J$9:$J$14,$F$3),1),"一致","確認")</f>
      </c>
    </row>
    <row r="10">
      <c r="A10" s="18" t="s">
        <v>47</v>
      </c>
      <c r="B10" s="30">
        <f t="array" ref="B10">INDEX('はじめに入力'!$K$9:$K$14,$F$3)/12</f>
      </c>
      <c r="C10" s="30">
        <f t="array" ref="C10">INDEX('はじめに入力'!$K$9:$K$14,$F$3)/12</f>
      </c>
      <c r="D10" s="30">
        <f t="array" ref="D10">INDEX('はじめに入力'!$K$9:$K$14,$F$3)/12</f>
      </c>
      <c r="E10" s="30">
        <f t="array" ref="E10">INDEX('はじめに入力'!$K$9:$K$14,$F$3)/12</f>
      </c>
      <c r="F10" s="30">
        <f t="array" ref="F10">INDEX('はじめに入力'!$K$9:$K$14,$F$3)/12</f>
      </c>
      <c r="G10" s="30">
        <f t="array" ref="G10">INDEX('はじめに入力'!$K$9:$K$14,$F$3)/12</f>
      </c>
      <c r="H10" s="30">
        <f t="array" ref="H10">INDEX('はじめに入力'!$K$9:$K$14,$F$3)/12</f>
      </c>
      <c r="I10" s="30">
        <f t="array" ref="I10">INDEX('はじめに入力'!$K$9:$K$14,$F$3)/12</f>
      </c>
      <c r="J10" s="30">
        <f t="array" ref="J10">INDEX('はじめに入力'!$K$9:$K$14,$F$3)/12</f>
      </c>
      <c r="K10" s="30">
        <f t="array" ref="K10">INDEX('はじめに入力'!$K$9:$K$14,$F$3)/12</f>
      </c>
      <c r="L10" s="30">
        <f t="array" ref="L10">INDEX('はじめに入力'!$K$9:$K$14,$F$3)/12</f>
      </c>
      <c r="M10" s="30">
        <f t="array" ref="M10">INDEX('はじめに入力'!$K$9:$K$14,$F$3)/12</f>
      </c>
      <c r="N10" s="30">
        <f t="shared" si="1"/>
      </c>
      <c r="O10" s="24"/>
    </row>
    <row r="12">
      <c r="A12" s="3" t="s">
        <v>68</v>
      </c>
    </row>
    <row r="13">
      <c r="A13" s="47" t="s">
        <v>28</v>
      </c>
      <c r="B13" s="15">
        <f t="shared" ref="B13:M13" si="2">B$6</f>
      </c>
      <c r="C13" s="15">
        <f t="shared" si="2"/>
      </c>
      <c r="D13" s="15">
        <f t="shared" si="2"/>
      </c>
      <c r="E13" s="15">
        <f t="shared" si="2"/>
      </c>
      <c r="F13" s="15">
        <f t="shared" si="2"/>
      </c>
      <c r="G13" s="15">
        <f t="shared" si="2"/>
      </c>
      <c r="H13" s="15">
        <f t="shared" si="2"/>
      </c>
      <c r="I13" s="15">
        <f t="shared" si="2"/>
      </c>
      <c r="J13" s="15">
        <f t="shared" si="2"/>
      </c>
      <c r="K13" s="15">
        <f t="shared" si="2"/>
      </c>
      <c r="L13" s="15">
        <f t="shared" si="2"/>
      </c>
      <c r="M13" s="15">
        <f t="shared" si="2"/>
      </c>
      <c r="N13" s="23" t="s">
        <v>54</v>
      </c>
    </row>
    <row r="14">
      <c r="A14" s="18" t="s">
        <v>38</v>
      </c>
      <c r="B14" s="53">
        <f t="array" ref="B14">IF(INDEX('毎月の実績入力'!C$12:C$45,($F$3-1)*6+1)="","",INDEX('毎月の実績入力'!C$12:C$45,($F$3-1)*6+1))</f>
      </c>
      <c r="C14" s="53">
        <f t="array" ref="C14">IF(INDEX('毎月の実績入力'!D$12:D$45,($F$3-1)*6+1)="","",INDEX('毎月の実績入力'!D$12:D$45,($F$3-1)*6+1))</f>
      </c>
      <c r="D14" s="53">
        <f t="array" ref="D14">IF(INDEX('毎月の実績入力'!E$12:E$45,($F$3-1)*6+1)="","",INDEX('毎月の実績入力'!E$12:E$45,($F$3-1)*6+1))</f>
      </c>
      <c r="E14" s="53">
        <f t="array" ref="E14">IF(INDEX('毎月の実績入力'!F$12:F$45,($F$3-1)*6+1)="","",INDEX('毎月の実績入力'!F$12:F$45,($F$3-1)*6+1))</f>
      </c>
      <c r="F14" s="53">
        <f t="array" ref="F14">IF(INDEX('毎月の実績入力'!G$12:G$45,($F$3-1)*6+1)="","",INDEX('毎月の実績入力'!G$12:G$45,($F$3-1)*6+1))</f>
      </c>
      <c r="G14" s="53">
        <f t="array" ref="G14">IF(INDEX('毎月の実績入力'!H$12:H$45,($F$3-1)*6+1)="","",INDEX('毎月の実績入力'!H$12:H$45,($F$3-1)*6+1))</f>
      </c>
      <c r="H14" s="53">
        <f t="array" ref="H14">IF(INDEX('毎月の実績入力'!I$12:I$45,($F$3-1)*6+1)="","",INDEX('毎月の実績入力'!I$12:I$45,($F$3-1)*6+1))</f>
      </c>
      <c r="I14" s="54">
        <f t="array" ref="I14">IF(INDEX('毎月の実績入力'!J$12:J$45,($F$3-1)*6+1)="","",INDEX('毎月の実績入力'!J$12:J$45,($F$3-1)*6+1))</f>
      </c>
      <c r="J14" s="54">
        <f t="array" ref="J14">IF(INDEX('毎月の実績入力'!K$12:K$45,($F$3-1)*6+1)="","",INDEX('毎月の実績入力'!K$12:K$45,($F$3-1)*6+1))</f>
      </c>
      <c r="K14" s="54">
        <f t="array" ref="K14">IF(INDEX('毎月の実績入力'!L$12:L$45,($F$3-1)*6+1)="","",INDEX('毎月の実績入力'!L$12:L$45,($F$3-1)*6+1))</f>
      </c>
      <c r="L14" s="54">
        <f t="array" ref="L14">IF(INDEX('毎月の実績入力'!M$12:M$45,($F$3-1)*6+1)="","",INDEX('毎月の実績入力'!M$12:M$45,($F$3-1)*6+1))</f>
      </c>
      <c r="M14" s="54">
        <f t="array" ref="M14">IF(INDEX('毎月の実績入力'!N$12:N$45,($F$3-1)*6+1)="","",INDEX('毎月の実績入力'!N$12:N$45,($F$3-1)*6+1))</f>
      </c>
      <c r="N14" s="54">
        <f>SUM(B14:M14)</f>
      </c>
    </row>
    <row r="15">
      <c r="A15" s="18" t="s">
        <v>39</v>
      </c>
      <c r="B15" s="55">
        <f t="shared" ref="B15:M15" si="3">IF(OR(B14="",B16=""),"",IFERROR(B16/B14,""))</f>
      </c>
      <c r="C15" s="55">
        <f t="shared" si="3"/>
      </c>
      <c r="D15" s="55">
        <f t="shared" si="3"/>
      </c>
      <c r="E15" s="55">
        <f t="shared" si="3"/>
      </c>
      <c r="F15" s="55">
        <f t="shared" si="3"/>
      </c>
      <c r="G15" s="55">
        <f t="shared" si="3"/>
      </c>
      <c r="H15" s="55">
        <f t="shared" si="3"/>
      </c>
      <c r="I15" s="55">
        <f t="shared" si="3"/>
      </c>
      <c r="J15" s="55">
        <f t="shared" si="3"/>
      </c>
      <c r="K15" s="55">
        <f t="shared" si="3"/>
      </c>
      <c r="L15" s="55">
        <f t="shared" si="3"/>
      </c>
      <c r="M15" s="55">
        <f t="shared" si="3"/>
      </c>
      <c r="N15" s="55">
        <f>IFERROR(N16/N14,"")</f>
      </c>
    </row>
    <row r="16">
      <c r="A16" s="18" t="s">
        <v>40</v>
      </c>
      <c r="B16" s="53">
        <f t="array" ref="B16">IF(INDEX('毎月の実績入力'!C$12:C$45,($F$3-1)*6+2)="","",INDEX('毎月の実績入力'!C$12:C$45,($F$3-1)*6+2))</f>
      </c>
      <c r="C16" s="53">
        <f t="array" ref="C16">IF(INDEX('毎月の実績入力'!D$12:D$45,($F$3-1)*6+2)="","",INDEX('毎月の実績入力'!D$12:D$45,($F$3-1)*6+2))</f>
      </c>
      <c r="D16" s="53">
        <f t="array" ref="D16">IF(INDEX('毎月の実績入力'!E$12:E$45,($F$3-1)*6+2)="","",INDEX('毎月の実績入力'!E$12:E$45,($F$3-1)*6+2))</f>
      </c>
      <c r="E16" s="53">
        <f t="array" ref="E16">IF(INDEX('毎月の実績入力'!F$12:F$45,($F$3-1)*6+2)="","",INDEX('毎月の実績入力'!F$12:F$45,($F$3-1)*6+2))</f>
      </c>
      <c r="F16" s="53">
        <f t="array" ref="F16">IF(INDEX('毎月の実績入力'!G$12:G$45,($F$3-1)*6+2)="","",INDEX('毎月の実績入力'!G$12:G$45,($F$3-1)*6+2))</f>
      </c>
      <c r="G16" s="53">
        <f t="array" ref="G16">IF(INDEX('毎月の実績入力'!H$12:H$45,($F$3-1)*6+2)="","",INDEX('毎月の実績入力'!H$12:H$45,($F$3-1)*6+2))</f>
      </c>
      <c r="H16" s="53">
        <f t="array" ref="H16">IF(INDEX('毎月の実績入力'!I$12:I$45,($F$3-1)*6+2)="","",INDEX('毎月の実績入力'!I$12:I$45,($F$3-1)*6+2))</f>
      </c>
      <c r="I16" s="54">
        <f t="array" ref="I16">IF(INDEX('毎月の実績入力'!J$12:J$45,($F$3-1)*6+2)="","",INDEX('毎月の実績入力'!J$12:J$45,($F$3-1)*6+2))</f>
      </c>
      <c r="J16" s="54">
        <f t="array" ref="J16">IF(INDEX('毎月の実績入力'!K$12:K$45,($F$3-1)*6+2)="","",INDEX('毎月の実績入力'!K$12:K$45,($F$3-1)*6+2))</f>
      </c>
      <c r="K16" s="54">
        <f t="array" ref="K16">IF(INDEX('毎月の実績入力'!L$12:L$45,($F$3-1)*6+2)="","",INDEX('毎月の実績入力'!L$12:L$45,($F$3-1)*6+2))</f>
      </c>
      <c r="L16" s="54">
        <f t="array" ref="L16">IF(INDEX('毎月の実績入力'!M$12:M$45,($F$3-1)*6+2)="","",INDEX('毎月の実績入力'!M$12:M$45,($F$3-1)*6+2))</f>
      </c>
      <c r="M16" s="54">
        <f t="array" ref="M16">IF(INDEX('毎月の実績入力'!N$12:N$45,($F$3-1)*6+2)="","",INDEX('毎月の実績入力'!N$12:N$45,($F$3-1)*6+2))</f>
      </c>
      <c r="N16" s="54">
        <f t="shared" ref="N16:N17" si="4">SUM(B16:M16)</f>
      </c>
    </row>
    <row r="17">
      <c r="A17" s="18" t="s">
        <v>46</v>
      </c>
      <c r="B17" s="53">
        <f t="array" ref="B17">IF(INDEX('毎月の実績入力'!C$12:C$45,($F$3-1)*6+3)="","",INDEX('毎月の実績入力'!C$12:C$45,($F$3-1)*6+3))</f>
      </c>
      <c r="C17" s="53">
        <f t="array" ref="C17">IF(INDEX('毎月の実績入力'!D$12:D$45,($F$3-1)*6+3)="","",INDEX('毎月の実績入力'!D$12:D$45,($F$3-1)*6+3))</f>
      </c>
      <c r="D17" s="53">
        <f t="array" ref="D17">IF(INDEX('毎月の実績入力'!E$12:E$45,($F$3-1)*6+3)="","",INDEX('毎月の実績入力'!E$12:E$45,($F$3-1)*6+3))</f>
      </c>
      <c r="E17" s="53">
        <f t="array" ref="E17">IF(INDEX('毎月の実績入力'!F$12:F$45,($F$3-1)*6+3)="","",INDEX('毎月の実績入力'!F$12:F$45,($F$3-1)*6+3))</f>
      </c>
      <c r="F17" s="53">
        <f t="array" ref="F17">IF(INDEX('毎月の実績入力'!G$12:G$45,($F$3-1)*6+3)="","",INDEX('毎月の実績入力'!G$12:G$45,($F$3-1)*6+3))</f>
      </c>
      <c r="G17" s="53">
        <f t="array" ref="G17">IF(INDEX('毎月の実績入力'!H$12:H$45,($F$3-1)*6+3)="","",INDEX('毎月の実績入力'!H$12:H$45,($F$3-1)*6+3))</f>
      </c>
      <c r="H17" s="53">
        <f t="array" ref="H17">IF(INDEX('毎月の実績入力'!I$12:I$45,($F$3-1)*6+3)="","",INDEX('毎月の実績入力'!I$12:I$45,($F$3-1)*6+3))</f>
      </c>
      <c r="I17" s="54">
        <f t="array" ref="I17">IF(INDEX('毎月の実績入力'!J$12:J$45,($F$3-1)*6+3)="","",INDEX('毎月の実績入力'!J$12:J$45,($F$3-1)*6+3))</f>
      </c>
      <c r="J17" s="54">
        <f t="array" ref="J17">IF(INDEX('毎月の実績入力'!K$12:K$45,($F$3-1)*6+3)="","",INDEX('毎月の実績入力'!K$12:K$45,($F$3-1)*6+3))</f>
      </c>
      <c r="K17" s="54">
        <f t="array" ref="K17">IF(INDEX('毎月の実績入力'!L$12:L$45,($F$3-1)*6+3)="","",INDEX('毎月の実績入力'!L$12:L$45,($F$3-1)*6+3))</f>
      </c>
      <c r="L17" s="54">
        <f t="array" ref="L17">IF(INDEX('毎月の実績入力'!M$12:M$45,($F$3-1)*6+3)="","",INDEX('毎月の実績入力'!M$12:M$45,($F$3-1)*6+3))</f>
      </c>
      <c r="M17" s="54">
        <f t="array" ref="M17">IF(INDEX('毎月の実績入力'!N$12:N$45,($F$3-1)*6+3)="","",INDEX('毎月の実績入力'!N$12:N$45,($F$3-1)*6+3))</f>
      </c>
      <c r="N17" s="54">
        <f t="shared" si="4"/>
      </c>
    </row>
    <row r="19">
      <c r="A19" s="3" t="s">
        <v>72</v>
      </c>
    </row>
    <row r="20">
      <c r="A20" s="8" t="s">
        <v>28</v>
      </c>
      <c r="B20" s="15">
        <f t="shared" ref="B20:M20" si="5">B$6</f>
      </c>
      <c r="C20" s="15">
        <f t="shared" si="5"/>
      </c>
      <c r="D20" s="15">
        <f t="shared" si="5"/>
      </c>
      <c r="E20" s="15">
        <f t="shared" si="5"/>
      </c>
      <c r="F20" s="15">
        <f t="shared" si="5"/>
      </c>
      <c r="G20" s="15">
        <f t="shared" si="5"/>
      </c>
      <c r="H20" s="15">
        <f t="shared" si="5"/>
      </c>
      <c r="I20" s="15">
        <f t="shared" si="5"/>
      </c>
      <c r="J20" s="15">
        <f t="shared" si="5"/>
      </c>
      <c r="K20" s="15">
        <f t="shared" si="5"/>
      </c>
      <c r="L20" s="15">
        <f t="shared" si="5"/>
      </c>
      <c r="M20" s="15">
        <f t="shared" si="5"/>
      </c>
    </row>
    <row r="21">
      <c r="A21" s="18" t="s">
        <v>73</v>
      </c>
      <c r="B21" s="20">
        <f t="shared" ref="B21:M21" si="6">IF(B26="","",IFERROR(SUM(INDEX($B$14:$M$14,$B$3):B$14)/SUM(INDEX($B$7:$M$7,$B$3):B$7),""))</f>
      </c>
      <c r="C21" s="20">
        <f t="shared" si="6"/>
      </c>
      <c r="D21" s="20">
        <f t="shared" si="6"/>
      </c>
      <c r="E21" s="20">
        <f t="shared" si="6"/>
      </c>
      <c r="F21" s="20">
        <f t="shared" si="6"/>
      </c>
      <c r="G21" s="20">
        <f t="shared" si="6"/>
      </c>
      <c r="H21" s="20">
        <f t="shared" si="6"/>
      </c>
      <c r="I21" s="20">
        <f t="shared" si="6"/>
      </c>
      <c r="J21" s="20">
        <f t="shared" si="6"/>
      </c>
      <c r="K21" s="20">
        <f t="shared" si="6"/>
      </c>
      <c r="L21" s="20">
        <f t="shared" si="6"/>
      </c>
      <c r="M21" s="20">
        <f t="shared" si="6"/>
      </c>
    </row>
    <row r="22">
      <c r="A22" s="18" t="s">
        <v>74</v>
      </c>
      <c r="B22" s="20">
        <f t="shared" ref="B22:M22" si="7">IF(B26="","",IFERROR(SUM(INDEX($B$16:$M$16,$B$3):B$16)/SUM(INDEX($B$8:$M$8,$B$3):B$8),""))</f>
      </c>
      <c r="C22" s="20">
        <f t="shared" si="7"/>
      </c>
      <c r="D22" s="20">
        <f t="shared" si="7"/>
      </c>
      <c r="E22" s="20">
        <f t="shared" si="7"/>
      </c>
      <c r="F22" s="20">
        <f t="shared" si="7"/>
      </c>
      <c r="G22" s="20">
        <f t="shared" si="7"/>
      </c>
      <c r="H22" s="20">
        <f t="shared" si="7"/>
      </c>
      <c r="I22" s="20">
        <f t="shared" si="7"/>
      </c>
      <c r="J22" s="20">
        <f t="shared" si="7"/>
      </c>
      <c r="K22" s="20">
        <f t="shared" si="7"/>
      </c>
      <c r="L22" s="20">
        <f t="shared" si="7"/>
      </c>
      <c r="M22" s="20">
        <f t="shared" si="7"/>
      </c>
    </row>
    <row r="23">
      <c r="A23" s="18" t="s">
        <v>48</v>
      </c>
      <c r="B23" s="16">
        <f t="shared" ref="B23:M23" si="8">IF(B26="","",IFERROR(B26/SUM(INDEX($B$14:$M$14,$B$3):B$14),"―"))</f>
      </c>
      <c r="C23" s="16">
        <f t="shared" si="8"/>
      </c>
      <c r="D23" s="16">
        <f t="shared" si="8"/>
      </c>
      <c r="E23" s="16">
        <f t="shared" si="8"/>
      </c>
      <c r="F23" s="16">
        <f t="shared" si="8"/>
      </c>
      <c r="G23" s="16">
        <f t="shared" si="8"/>
      </c>
      <c r="H23" s="16">
        <f t="shared" si="8"/>
      </c>
      <c r="I23" s="16">
        <f t="shared" si="8"/>
      </c>
      <c r="J23" s="16">
        <f t="shared" si="8"/>
      </c>
      <c r="K23" s="16">
        <f t="shared" si="8"/>
      </c>
      <c r="L23" s="16">
        <f t="shared" si="8"/>
      </c>
      <c r="M23" s="16">
        <f t="shared" si="8"/>
      </c>
    </row>
    <row r="24">
      <c r="A24" s="18" t="s">
        <v>70</v>
      </c>
      <c r="B24" s="26">
        <f t="shared" ref="B24:M24" si="9">IF(B26="","",IF(SUM(INDEX($B$17:$M$17,$B$3):B$17)=0,"費用なし",IF(OR(B23="―",B23&gt;$F$2),"上限超え","上限内")))</f>
      </c>
      <c r="C24" s="26">
        <f t="shared" si="9"/>
      </c>
      <c r="D24" s="26">
        <f t="shared" si="9"/>
      </c>
      <c r="E24" s="26">
        <f t="shared" si="9"/>
      </c>
      <c r="F24" s="26">
        <f t="shared" si="9"/>
      </c>
      <c r="G24" s="26">
        <f t="shared" si="9"/>
      </c>
      <c r="H24" s="26">
        <f t="shared" si="9"/>
      </c>
      <c r="I24" s="26">
        <f t="shared" si="9"/>
      </c>
      <c r="J24" s="26">
        <f t="shared" si="9"/>
      </c>
      <c r="K24" s="26">
        <f t="shared" si="9"/>
      </c>
      <c r="L24" s="26">
        <f t="shared" si="9"/>
      </c>
      <c r="M24" s="26">
        <f t="shared" si="9"/>
      </c>
    </row>
    <row r="25">
      <c r="A25" s="18" t="s">
        <v>75</v>
      </c>
      <c r="B25" s="26">
        <f t="shared" ref="B25:M25" si="10">IF(B26="","",IF(COLUMN()-1&lt;$D$3,"判定前",IF(B24="費用なし","判定しない",IF(AND(B24="上限超え",B21&lt;0.9),"撤退を検討","なし"))))</f>
      </c>
      <c r="C25" s="26">
        <f t="shared" si="10"/>
      </c>
      <c r="D25" s="26">
        <f t="shared" si="10"/>
      </c>
      <c r="E25" s="26">
        <f t="shared" si="10"/>
      </c>
      <c r="F25" s="26">
        <f t="shared" si="10"/>
      </c>
      <c r="G25" s="26">
        <f t="shared" si="10"/>
      </c>
      <c r="H25" s="26">
        <f t="shared" si="10"/>
      </c>
      <c r="I25" s="26">
        <f t="shared" si="10"/>
      </c>
      <c r="J25" s="26">
        <f t="shared" si="10"/>
      </c>
      <c r="K25" s="26">
        <f t="shared" si="10"/>
      </c>
      <c r="L25" s="26">
        <f t="shared" si="10"/>
      </c>
      <c r="M25" s="26">
        <f t="shared" si="10"/>
      </c>
    </row>
    <row r="26">
      <c r="A26" s="18" t="s">
        <v>76</v>
      </c>
      <c r="B26" s="21">
        <f t="shared" ref="B26:M26" si="11">IF(OR($B$3="",COLUMN()-1&lt;$B$3,B$14=""),"",SUM(INDEX($B$17:$M$17,$B$3):B$17)+SUM(INDEX($B$10:$M$10,$B$3):B$10))</f>
      </c>
      <c r="C26" s="21">
        <f t="shared" si="11"/>
      </c>
      <c r="D26" s="21">
        <f t="shared" si="11"/>
      </c>
      <c r="E26" s="21">
        <f t="shared" si="11"/>
      </c>
      <c r="F26" s="21">
        <f t="shared" si="11"/>
      </c>
      <c r="G26" s="21">
        <f t="shared" si="11"/>
      </c>
      <c r="H26" s="21">
        <f t="shared" si="11"/>
      </c>
      <c r="I26" s="21">
        <f t="shared" si="11"/>
      </c>
      <c r="J26" s="21">
        <f t="shared" si="11"/>
      </c>
      <c r="K26" s="21">
        <f t="shared" si="11"/>
      </c>
      <c r="L26" s="21">
        <f t="shared" si="11"/>
      </c>
      <c r="M26" s="21">
        <f t="shared" si="11"/>
      </c>
    </row>
    <row r="28">
      <c r="A28" s="4" t="s">
        <v>77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>
      <c r="A29" s="4" t="s">
        <v>78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>
      <c r="A30" s="4" t="s">
        <v>79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</sheetData>
  <conditionalFormatting sqref="O7:O9">
    <cfRule type="cellIs" dxfId="0" priority="1" stopIfTrue="1" operator="equal">
      <formula>"確認"</formula>
    </cfRule>
  </conditionalFormatting>
  <conditionalFormatting sqref="B24:M25">
    <cfRule type="cellIs" dxfId="0" priority="2" stopIfTrue="1" operator="equal">
      <formula>"上限超え"</formula>
    </cfRule>
  </conditionalFormatting>
  <conditionalFormatting sqref="B24:M25">
    <cfRule type="cellIs" dxfId="1" priority="3" stopIfTrue="1" operator="equal">
      <formula>"撤退を検討"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2" max="13" width="7.13"/>
    <col customWidth="1" min="14" max="14" width="8.13"/>
    <col customWidth="1" min="15" max="15" width="11.38"/>
  </cols>
  <sheetData>
    <row r="1">
      <c r="A1" s="1" t="s">
        <v>58</v>
      </c>
      <c r="D1" s="4" t="s">
        <v>4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18</v>
      </c>
      <c r="B2" s="10">
        <f t="array" ref="B2">IF(B3="","計画なし",INDEX($B$6:$M$6,B3))</f>
      </c>
      <c r="C2" s="3" t="s">
        <v>34</v>
      </c>
      <c r="D2" s="10">
        <f t="array" ref="D2">IF(D3="","",IF(D3&gt;12,"今期は判定なし",INDEX($B$6:$M$6,D3)))</f>
      </c>
      <c r="E2" s="3" t="s">
        <v>32</v>
      </c>
      <c r="F2" s="17">
        <f>'はじめに入力'!$I$5</f>
      </c>
    </row>
    <row r="3" hidden="1">
      <c r="A3" s="5" t="s">
        <v>35</v>
      </c>
      <c r="B3" s="10">
        <f t="array" ref="B3">IFERROR(MATCH(TRUE,INDEX($B$7:$M$7&gt;0,0),0),"")</f>
      </c>
      <c r="D3" s="10">
        <f>IF(B3="","",B3+6)</f>
      </c>
      <c r="F3" s="10">
        <f>MATCH($A$1,'はじめに入力'!$A$9:$A$14,0)</f>
      </c>
    </row>
    <row r="4">
      <c r="A4" s="3" t="s">
        <v>51</v>
      </c>
    </row>
    <row r="5">
      <c r="B5" s="19" t="s">
        <v>52</v>
      </c>
    </row>
    <row r="6">
      <c r="A6" s="8" t="s">
        <v>28</v>
      </c>
      <c r="B6" s="15">
        <f>MONTH(EDATE('はじめに入力'!$A$5,0))&amp;"月"</f>
      </c>
      <c r="C6" s="15">
        <f>MONTH(EDATE('はじめに入力'!$A$5,1))&amp;"月"</f>
      </c>
      <c r="D6" s="15">
        <f>MONTH(EDATE('はじめに入力'!$A$5,2))&amp;"月"</f>
      </c>
      <c r="E6" s="15">
        <f>MONTH(EDATE('はじめに入力'!$A$5,3))&amp;"月"</f>
      </c>
      <c r="F6" s="15">
        <f>MONTH(EDATE('はじめに入力'!$A$5,4))&amp;"月"</f>
      </c>
      <c r="G6" s="15">
        <f>MONTH(EDATE('はじめに入力'!$A$5,5))&amp;"月"</f>
      </c>
      <c r="H6" s="15">
        <f>MONTH(EDATE('はじめに入力'!$A$5,6))&amp;"月"</f>
      </c>
      <c r="I6" s="15">
        <f>MONTH(EDATE('はじめに入力'!$A$5,7))&amp;"月"</f>
      </c>
      <c r="J6" s="15">
        <f>MONTH(EDATE('はじめに入力'!$A$5,8))&amp;"月"</f>
      </c>
      <c r="K6" s="15">
        <f>MONTH(EDATE('はじめに入力'!$A$5,9))&amp;"月"</f>
      </c>
      <c r="L6" s="15">
        <f>MONTH(EDATE('はじめに入力'!$A$5,10))&amp;"月"</f>
      </c>
      <c r="M6" s="15">
        <f>MONTH(EDATE('はじめに入力'!$A$5,11))&amp;"月"</f>
      </c>
      <c r="N6" s="23" t="s">
        <v>54</v>
      </c>
      <c r="O6" s="23" t="s">
        <v>56</v>
      </c>
    </row>
    <row r="7">
      <c r="A7" s="18" t="s">
        <v>38</v>
      </c>
      <c r="B7" s="11">
        <v>1.0</v>
      </c>
      <c r="C7" s="11">
        <v>1.0</v>
      </c>
      <c r="D7" s="11">
        <v>1.0</v>
      </c>
      <c r="E7" s="11">
        <v>1.0</v>
      </c>
      <c r="F7" s="11">
        <v>1.0</v>
      </c>
      <c r="G7" s="11">
        <v>1.0</v>
      </c>
      <c r="H7" s="11">
        <v>1.0</v>
      </c>
      <c r="I7" s="11">
        <v>1.0</v>
      </c>
      <c r="J7" s="11">
        <v>1.0</v>
      </c>
      <c r="K7" s="11">
        <v>1.0</v>
      </c>
      <c r="L7" s="11">
        <v>1.0</v>
      </c>
      <c r="M7" s="11">
        <v>1.0</v>
      </c>
      <c r="N7" s="21">
        <f t="shared" ref="N7:N10" si="1">SUM(B7:M7)</f>
      </c>
      <c r="O7" s="26">
        <f t="array" ref="O7">IF(N7=INDEX('はじめに入力'!$B$9:$B$14,$F$3),"一致","確認")</f>
      </c>
    </row>
    <row r="8">
      <c r="A8" s="18" t="s">
        <v>40</v>
      </c>
      <c r="B8" s="11">
        <v>0.0</v>
      </c>
      <c r="C8" s="11">
        <v>1.0</v>
      </c>
      <c r="D8" s="11">
        <v>0.0</v>
      </c>
      <c r="E8" s="11">
        <v>1.0</v>
      </c>
      <c r="F8" s="11">
        <v>0.0</v>
      </c>
      <c r="G8" s="11">
        <v>1.0</v>
      </c>
      <c r="H8" s="11">
        <v>0.0</v>
      </c>
      <c r="I8" s="11">
        <v>1.0</v>
      </c>
      <c r="J8" s="11">
        <v>0.0</v>
      </c>
      <c r="K8" s="11">
        <v>1.0</v>
      </c>
      <c r="L8" s="11">
        <v>0.0</v>
      </c>
      <c r="M8" s="11">
        <v>0.0</v>
      </c>
      <c r="N8" s="21">
        <f t="shared" si="1"/>
      </c>
      <c r="O8" s="26">
        <f t="array" ref="O8">IF(N8=INDEX('はじめに入力'!$D$9:$D$14,$F$3),"一致","確認")</f>
      </c>
    </row>
    <row r="9">
      <c r="A9" s="18" t="s">
        <v>46</v>
      </c>
      <c r="B9" s="27">
        <f t="array" ref="B9">INDEX('はじめに入力'!$J$9:$J$14,$F$3)/12</f>
      </c>
      <c r="C9" s="27">
        <f t="array" ref="C9">INDEX('はじめに入力'!$J$9:$J$14,$F$3)/12</f>
      </c>
      <c r="D9" s="27">
        <f t="array" ref="D9">INDEX('はじめに入力'!$J$9:$J$14,$F$3)/12</f>
      </c>
      <c r="E9" s="27">
        <f t="array" ref="E9">INDEX('はじめに入力'!$J$9:$J$14,$F$3)/12</f>
      </c>
      <c r="F9" s="27">
        <f t="array" ref="F9">INDEX('はじめに入力'!$J$9:$J$14,$F$3)/12</f>
      </c>
      <c r="G9" s="27">
        <f t="array" ref="G9">INDEX('はじめに入力'!$J$9:$J$14,$F$3)/12</f>
      </c>
      <c r="H9" s="27">
        <f t="array" ref="H9">INDEX('はじめに入力'!$J$9:$J$14,$F$3)/12</f>
      </c>
      <c r="I9" s="27">
        <f t="array" ref="I9">INDEX('はじめに入力'!$J$9:$J$14,$F$3)/12</f>
      </c>
      <c r="J9" s="27">
        <f t="array" ref="J9">INDEX('はじめに入力'!$J$9:$J$14,$F$3)/12</f>
      </c>
      <c r="K9" s="27">
        <f t="array" ref="K9">INDEX('はじめに入力'!$J$9:$J$14,$F$3)/12</f>
      </c>
      <c r="L9" s="27">
        <f t="array" ref="L9">INDEX('はじめに入力'!$J$9:$J$14,$F$3)/12</f>
      </c>
      <c r="M9" s="27">
        <f t="array" ref="M9">INDEX('はじめに入力'!$J$9:$J$14,$F$3)/12</f>
      </c>
      <c r="N9" s="30">
        <f t="shared" si="1"/>
      </c>
      <c r="O9" s="26">
        <f t="array" ref="O9">IF(ROUND(N9,1)=ROUND(INDEX('はじめに入力'!$J$9:$J$14,$F$3),1),"一致","確認")</f>
      </c>
    </row>
    <row r="10">
      <c r="A10" s="18" t="s">
        <v>47</v>
      </c>
      <c r="B10" s="30">
        <f t="array" ref="B10">INDEX('はじめに入力'!$K$9:$K$14,$F$3)/12</f>
      </c>
      <c r="C10" s="30">
        <f t="array" ref="C10">INDEX('はじめに入力'!$K$9:$K$14,$F$3)/12</f>
      </c>
      <c r="D10" s="30">
        <f t="array" ref="D10">INDEX('はじめに入力'!$K$9:$K$14,$F$3)/12</f>
      </c>
      <c r="E10" s="30">
        <f t="array" ref="E10">INDEX('はじめに入力'!$K$9:$K$14,$F$3)/12</f>
      </c>
      <c r="F10" s="30">
        <f t="array" ref="F10">INDEX('はじめに入力'!$K$9:$K$14,$F$3)/12</f>
      </c>
      <c r="G10" s="30">
        <f t="array" ref="G10">INDEX('はじめに入力'!$K$9:$K$14,$F$3)/12</f>
      </c>
      <c r="H10" s="30">
        <f t="array" ref="H10">INDEX('はじめに入力'!$K$9:$K$14,$F$3)/12</f>
      </c>
      <c r="I10" s="30">
        <f t="array" ref="I10">INDEX('はじめに入力'!$K$9:$K$14,$F$3)/12</f>
      </c>
      <c r="J10" s="30">
        <f t="array" ref="J10">INDEX('はじめに入力'!$K$9:$K$14,$F$3)/12</f>
      </c>
      <c r="K10" s="30">
        <f t="array" ref="K10">INDEX('はじめに入力'!$K$9:$K$14,$F$3)/12</f>
      </c>
      <c r="L10" s="30">
        <f t="array" ref="L10">INDEX('はじめに入力'!$K$9:$K$14,$F$3)/12</f>
      </c>
      <c r="M10" s="30">
        <f t="array" ref="M10">INDEX('はじめに入力'!$K$9:$K$14,$F$3)/12</f>
      </c>
      <c r="N10" s="30">
        <f t="shared" si="1"/>
      </c>
      <c r="O10" s="24"/>
    </row>
    <row r="12">
      <c r="A12" s="3" t="s">
        <v>68</v>
      </c>
    </row>
    <row r="13">
      <c r="A13" s="47" t="s">
        <v>28</v>
      </c>
      <c r="B13" s="15">
        <f t="shared" ref="B13:M13" si="2">B$6</f>
      </c>
      <c r="C13" s="15">
        <f t="shared" si="2"/>
      </c>
      <c r="D13" s="15">
        <f t="shared" si="2"/>
      </c>
      <c r="E13" s="15">
        <f t="shared" si="2"/>
      </c>
      <c r="F13" s="15">
        <f t="shared" si="2"/>
      </c>
      <c r="G13" s="15">
        <f t="shared" si="2"/>
      </c>
      <c r="H13" s="15">
        <f t="shared" si="2"/>
      </c>
      <c r="I13" s="15">
        <f t="shared" si="2"/>
      </c>
      <c r="J13" s="15">
        <f t="shared" si="2"/>
      </c>
      <c r="K13" s="15">
        <f t="shared" si="2"/>
      </c>
      <c r="L13" s="15">
        <f t="shared" si="2"/>
      </c>
      <c r="M13" s="15">
        <f t="shared" si="2"/>
      </c>
      <c r="N13" s="23" t="s">
        <v>54</v>
      </c>
    </row>
    <row r="14">
      <c r="A14" s="18" t="s">
        <v>38</v>
      </c>
      <c r="B14" s="53">
        <f t="array" ref="B14">IF(INDEX('毎月の実績入力'!C$12:C$45,($F$3-1)*6+1)="","",INDEX('毎月の実績入力'!C$12:C$45,($F$3-1)*6+1))</f>
      </c>
      <c r="C14" s="53">
        <f t="array" ref="C14">IF(INDEX('毎月の実績入力'!D$12:D$45,($F$3-1)*6+1)="","",INDEX('毎月の実績入力'!D$12:D$45,($F$3-1)*6+1))</f>
      </c>
      <c r="D14" s="53">
        <f t="array" ref="D14">IF(INDEX('毎月の実績入力'!E$12:E$45,($F$3-1)*6+1)="","",INDEX('毎月の実績入力'!E$12:E$45,($F$3-1)*6+1))</f>
      </c>
      <c r="E14" s="53">
        <f t="array" ref="E14">IF(INDEX('毎月の実績入力'!F$12:F$45,($F$3-1)*6+1)="","",INDEX('毎月の実績入力'!F$12:F$45,($F$3-1)*6+1))</f>
      </c>
      <c r="F14" s="53">
        <f t="array" ref="F14">IF(INDEX('毎月の実績入力'!G$12:G$45,($F$3-1)*6+1)="","",INDEX('毎月の実績入力'!G$12:G$45,($F$3-1)*6+1))</f>
      </c>
      <c r="G14" s="53">
        <f t="array" ref="G14">IF(INDEX('毎月の実績入力'!H$12:H$45,($F$3-1)*6+1)="","",INDEX('毎月の実績入力'!H$12:H$45,($F$3-1)*6+1))</f>
      </c>
      <c r="H14" s="53">
        <f t="array" ref="H14">IF(INDEX('毎月の実績入力'!I$12:I$45,($F$3-1)*6+1)="","",INDEX('毎月の実績入力'!I$12:I$45,($F$3-1)*6+1))</f>
      </c>
      <c r="I14" s="54">
        <f t="array" ref="I14">IF(INDEX('毎月の実績入力'!J$12:J$45,($F$3-1)*6+1)="","",INDEX('毎月の実績入力'!J$12:J$45,($F$3-1)*6+1))</f>
      </c>
      <c r="J14" s="54">
        <f t="array" ref="J14">IF(INDEX('毎月の実績入力'!K$12:K$45,($F$3-1)*6+1)="","",INDEX('毎月の実績入力'!K$12:K$45,($F$3-1)*6+1))</f>
      </c>
      <c r="K14" s="54">
        <f t="array" ref="K14">IF(INDEX('毎月の実績入力'!L$12:L$45,($F$3-1)*6+1)="","",INDEX('毎月の実績入力'!L$12:L$45,($F$3-1)*6+1))</f>
      </c>
      <c r="L14" s="54">
        <f t="array" ref="L14">IF(INDEX('毎月の実績入力'!M$12:M$45,($F$3-1)*6+1)="","",INDEX('毎月の実績入力'!M$12:M$45,($F$3-1)*6+1))</f>
      </c>
      <c r="M14" s="54">
        <f t="array" ref="M14">IF(INDEX('毎月の実績入力'!N$12:N$45,($F$3-1)*6+1)="","",INDEX('毎月の実績入力'!N$12:N$45,($F$3-1)*6+1))</f>
      </c>
      <c r="N14" s="54">
        <f>SUM(B14:M14)</f>
      </c>
    </row>
    <row r="15">
      <c r="A15" s="18" t="s">
        <v>39</v>
      </c>
      <c r="B15" s="55">
        <f t="shared" ref="B15:M15" si="3">IF(OR(B14="",B16=""),"",IFERROR(B16/B14,""))</f>
      </c>
      <c r="C15" s="55">
        <f t="shared" si="3"/>
      </c>
      <c r="D15" s="55">
        <f t="shared" si="3"/>
      </c>
      <c r="E15" s="55">
        <f t="shared" si="3"/>
      </c>
      <c r="F15" s="55">
        <f t="shared" si="3"/>
      </c>
      <c r="G15" s="55">
        <f t="shared" si="3"/>
      </c>
      <c r="H15" s="55">
        <f t="shared" si="3"/>
      </c>
      <c r="I15" s="55">
        <f t="shared" si="3"/>
      </c>
      <c r="J15" s="55">
        <f t="shared" si="3"/>
      </c>
      <c r="K15" s="55">
        <f t="shared" si="3"/>
      </c>
      <c r="L15" s="55">
        <f t="shared" si="3"/>
      </c>
      <c r="M15" s="55">
        <f t="shared" si="3"/>
      </c>
      <c r="N15" s="55">
        <f>IFERROR(N16/N14,"")</f>
      </c>
    </row>
    <row r="16">
      <c r="A16" s="18" t="s">
        <v>40</v>
      </c>
      <c r="B16" s="53">
        <f t="array" ref="B16">IF(INDEX('毎月の実績入力'!C$12:C$45,($F$3-1)*6+2)="","",INDEX('毎月の実績入力'!C$12:C$45,($F$3-1)*6+2))</f>
      </c>
      <c r="C16" s="53">
        <f t="array" ref="C16">IF(INDEX('毎月の実績入力'!D$12:D$45,($F$3-1)*6+2)="","",INDEX('毎月の実績入力'!D$12:D$45,($F$3-1)*6+2))</f>
      </c>
      <c r="D16" s="53">
        <f t="array" ref="D16">IF(INDEX('毎月の実績入力'!E$12:E$45,($F$3-1)*6+2)="","",INDEX('毎月の実績入力'!E$12:E$45,($F$3-1)*6+2))</f>
      </c>
      <c r="E16" s="53">
        <f t="array" ref="E16">IF(INDEX('毎月の実績入力'!F$12:F$45,($F$3-1)*6+2)="","",INDEX('毎月の実績入力'!F$12:F$45,($F$3-1)*6+2))</f>
      </c>
      <c r="F16" s="53">
        <f t="array" ref="F16">IF(INDEX('毎月の実績入力'!G$12:G$45,($F$3-1)*6+2)="","",INDEX('毎月の実績入力'!G$12:G$45,($F$3-1)*6+2))</f>
      </c>
      <c r="G16" s="53">
        <f t="array" ref="G16">IF(INDEX('毎月の実績入力'!H$12:H$45,($F$3-1)*6+2)="","",INDEX('毎月の実績入力'!H$12:H$45,($F$3-1)*6+2))</f>
      </c>
      <c r="H16" s="53">
        <f t="array" ref="H16">IF(INDEX('毎月の実績入力'!I$12:I$45,($F$3-1)*6+2)="","",INDEX('毎月の実績入力'!I$12:I$45,($F$3-1)*6+2))</f>
      </c>
      <c r="I16" s="54">
        <f t="array" ref="I16">IF(INDEX('毎月の実績入力'!J$12:J$45,($F$3-1)*6+2)="","",INDEX('毎月の実績入力'!J$12:J$45,($F$3-1)*6+2))</f>
      </c>
      <c r="J16" s="54">
        <f t="array" ref="J16">IF(INDEX('毎月の実績入力'!K$12:K$45,($F$3-1)*6+2)="","",INDEX('毎月の実績入力'!K$12:K$45,($F$3-1)*6+2))</f>
      </c>
      <c r="K16" s="54">
        <f t="array" ref="K16">IF(INDEX('毎月の実績入力'!L$12:L$45,($F$3-1)*6+2)="","",INDEX('毎月の実績入力'!L$12:L$45,($F$3-1)*6+2))</f>
      </c>
      <c r="L16" s="54">
        <f t="array" ref="L16">IF(INDEX('毎月の実績入力'!M$12:M$45,($F$3-1)*6+2)="","",INDEX('毎月の実績入力'!M$12:M$45,($F$3-1)*6+2))</f>
      </c>
      <c r="M16" s="54">
        <f t="array" ref="M16">IF(INDEX('毎月の実績入力'!N$12:N$45,($F$3-1)*6+2)="","",INDEX('毎月の実績入力'!N$12:N$45,($F$3-1)*6+2))</f>
      </c>
      <c r="N16" s="54">
        <f t="shared" ref="N16:N17" si="4">SUM(B16:M16)</f>
      </c>
    </row>
    <row r="17">
      <c r="A17" s="18" t="s">
        <v>46</v>
      </c>
      <c r="B17" s="53">
        <f t="array" ref="B17">IF(INDEX('毎月の実績入力'!C$12:C$45,($F$3-1)*6+3)="","",INDEX('毎月の実績入力'!C$12:C$45,($F$3-1)*6+3))</f>
      </c>
      <c r="C17" s="53">
        <f t="array" ref="C17">IF(INDEX('毎月の実績入力'!D$12:D$45,($F$3-1)*6+3)="","",INDEX('毎月の実績入力'!D$12:D$45,($F$3-1)*6+3))</f>
      </c>
      <c r="D17" s="53">
        <f t="array" ref="D17">IF(INDEX('毎月の実績入力'!E$12:E$45,($F$3-1)*6+3)="","",INDEX('毎月の実績入力'!E$12:E$45,($F$3-1)*6+3))</f>
      </c>
      <c r="E17" s="53">
        <f t="array" ref="E17">IF(INDEX('毎月の実績入力'!F$12:F$45,($F$3-1)*6+3)="","",INDEX('毎月の実績入力'!F$12:F$45,($F$3-1)*6+3))</f>
      </c>
      <c r="F17" s="53">
        <f t="array" ref="F17">IF(INDEX('毎月の実績入力'!G$12:G$45,($F$3-1)*6+3)="","",INDEX('毎月の実績入力'!G$12:G$45,($F$3-1)*6+3))</f>
      </c>
      <c r="G17" s="53">
        <f t="array" ref="G17">IF(INDEX('毎月の実績入力'!H$12:H$45,($F$3-1)*6+3)="","",INDEX('毎月の実績入力'!H$12:H$45,($F$3-1)*6+3))</f>
      </c>
      <c r="H17" s="53">
        <f t="array" ref="H17">IF(INDEX('毎月の実績入力'!I$12:I$45,($F$3-1)*6+3)="","",INDEX('毎月の実績入力'!I$12:I$45,($F$3-1)*6+3))</f>
      </c>
      <c r="I17" s="54">
        <f t="array" ref="I17">IF(INDEX('毎月の実績入力'!J$12:J$45,($F$3-1)*6+3)="","",INDEX('毎月の実績入力'!J$12:J$45,($F$3-1)*6+3))</f>
      </c>
      <c r="J17" s="54">
        <f t="array" ref="J17">IF(INDEX('毎月の実績入力'!K$12:K$45,($F$3-1)*6+3)="","",INDEX('毎月の実績入力'!K$12:K$45,($F$3-1)*6+3))</f>
      </c>
      <c r="K17" s="54">
        <f t="array" ref="K17">IF(INDEX('毎月の実績入力'!L$12:L$45,($F$3-1)*6+3)="","",INDEX('毎月の実績入力'!L$12:L$45,($F$3-1)*6+3))</f>
      </c>
      <c r="L17" s="54">
        <f t="array" ref="L17">IF(INDEX('毎月の実績入力'!M$12:M$45,($F$3-1)*6+3)="","",INDEX('毎月の実績入力'!M$12:M$45,($F$3-1)*6+3))</f>
      </c>
      <c r="M17" s="54">
        <f t="array" ref="M17">IF(INDEX('毎月の実績入力'!N$12:N$45,($F$3-1)*6+3)="","",INDEX('毎月の実績入力'!N$12:N$45,($F$3-1)*6+3))</f>
      </c>
      <c r="N17" s="54">
        <f t="shared" si="4"/>
      </c>
    </row>
    <row r="19">
      <c r="A19" s="3" t="s">
        <v>72</v>
      </c>
    </row>
    <row r="20">
      <c r="A20" s="8" t="s">
        <v>28</v>
      </c>
      <c r="B20" s="15">
        <f t="shared" ref="B20:M20" si="5">B$6</f>
      </c>
      <c r="C20" s="15">
        <f t="shared" si="5"/>
      </c>
      <c r="D20" s="15">
        <f t="shared" si="5"/>
      </c>
      <c r="E20" s="15">
        <f t="shared" si="5"/>
      </c>
      <c r="F20" s="15">
        <f t="shared" si="5"/>
      </c>
      <c r="G20" s="15">
        <f t="shared" si="5"/>
      </c>
      <c r="H20" s="15">
        <f t="shared" si="5"/>
      </c>
      <c r="I20" s="15">
        <f t="shared" si="5"/>
      </c>
      <c r="J20" s="15">
        <f t="shared" si="5"/>
      </c>
      <c r="K20" s="15">
        <f t="shared" si="5"/>
      </c>
      <c r="L20" s="15">
        <f t="shared" si="5"/>
      </c>
      <c r="M20" s="15">
        <f t="shared" si="5"/>
      </c>
    </row>
    <row r="21">
      <c r="A21" s="18" t="s">
        <v>73</v>
      </c>
      <c r="B21" s="20">
        <f t="shared" ref="B21:M21" si="6">IF(B26="","",IFERROR(SUM(INDEX($B$14:$M$14,$B$3):B$14)/SUM(INDEX($B$7:$M$7,$B$3):B$7),""))</f>
      </c>
      <c r="C21" s="20">
        <f t="shared" si="6"/>
      </c>
      <c r="D21" s="20">
        <f t="shared" si="6"/>
      </c>
      <c r="E21" s="20">
        <f t="shared" si="6"/>
      </c>
      <c r="F21" s="20">
        <f t="shared" si="6"/>
      </c>
      <c r="G21" s="20">
        <f t="shared" si="6"/>
      </c>
      <c r="H21" s="20">
        <f t="shared" si="6"/>
      </c>
      <c r="I21" s="20">
        <f t="shared" si="6"/>
      </c>
      <c r="J21" s="20">
        <f t="shared" si="6"/>
      </c>
      <c r="K21" s="20">
        <f t="shared" si="6"/>
      </c>
      <c r="L21" s="20">
        <f t="shared" si="6"/>
      </c>
      <c r="M21" s="20">
        <f t="shared" si="6"/>
      </c>
    </row>
    <row r="22">
      <c r="A22" s="18" t="s">
        <v>74</v>
      </c>
      <c r="B22" s="20">
        <f t="shared" ref="B22:M22" si="7">IF(B26="","",IFERROR(SUM(INDEX($B$16:$M$16,$B$3):B$16)/SUM(INDEX($B$8:$M$8,$B$3):B$8),""))</f>
      </c>
      <c r="C22" s="20">
        <f t="shared" si="7"/>
      </c>
      <c r="D22" s="20">
        <f t="shared" si="7"/>
      </c>
      <c r="E22" s="20">
        <f t="shared" si="7"/>
      </c>
      <c r="F22" s="20">
        <f t="shared" si="7"/>
      </c>
      <c r="G22" s="20">
        <f t="shared" si="7"/>
      </c>
      <c r="H22" s="20">
        <f t="shared" si="7"/>
      </c>
      <c r="I22" s="20">
        <f t="shared" si="7"/>
      </c>
      <c r="J22" s="20">
        <f t="shared" si="7"/>
      </c>
      <c r="K22" s="20">
        <f t="shared" si="7"/>
      </c>
      <c r="L22" s="20">
        <f t="shared" si="7"/>
      </c>
      <c r="M22" s="20">
        <f t="shared" si="7"/>
      </c>
    </row>
    <row r="23">
      <c r="A23" s="18" t="s">
        <v>48</v>
      </c>
      <c r="B23" s="16">
        <f t="shared" ref="B23:M23" si="8">IF(B26="","",IFERROR(B26/SUM(INDEX($B$14:$M$14,$B$3):B$14),"―"))</f>
      </c>
      <c r="C23" s="16">
        <f t="shared" si="8"/>
      </c>
      <c r="D23" s="16">
        <f t="shared" si="8"/>
      </c>
      <c r="E23" s="16">
        <f t="shared" si="8"/>
      </c>
      <c r="F23" s="16">
        <f t="shared" si="8"/>
      </c>
      <c r="G23" s="16">
        <f t="shared" si="8"/>
      </c>
      <c r="H23" s="16">
        <f t="shared" si="8"/>
      </c>
      <c r="I23" s="16">
        <f t="shared" si="8"/>
      </c>
      <c r="J23" s="16">
        <f t="shared" si="8"/>
      </c>
      <c r="K23" s="16">
        <f t="shared" si="8"/>
      </c>
      <c r="L23" s="16">
        <f t="shared" si="8"/>
      </c>
      <c r="M23" s="16">
        <f t="shared" si="8"/>
      </c>
    </row>
    <row r="24">
      <c r="A24" s="18" t="s">
        <v>70</v>
      </c>
      <c r="B24" s="26">
        <f t="shared" ref="B24:M24" si="9">IF(B26="","",IF(SUM(INDEX($B$17:$M$17,$B$3):B$17)=0,"費用なし",IF(OR(B23="―",B23&gt;$F$2),"上限超え","上限内")))</f>
      </c>
      <c r="C24" s="26">
        <f t="shared" si="9"/>
      </c>
      <c r="D24" s="26">
        <f t="shared" si="9"/>
      </c>
      <c r="E24" s="26">
        <f t="shared" si="9"/>
      </c>
      <c r="F24" s="26">
        <f t="shared" si="9"/>
      </c>
      <c r="G24" s="26">
        <f t="shared" si="9"/>
      </c>
      <c r="H24" s="26">
        <f t="shared" si="9"/>
      </c>
      <c r="I24" s="26">
        <f t="shared" si="9"/>
      </c>
      <c r="J24" s="26">
        <f t="shared" si="9"/>
      </c>
      <c r="K24" s="26">
        <f t="shared" si="9"/>
      </c>
      <c r="L24" s="26">
        <f t="shared" si="9"/>
      </c>
      <c r="M24" s="26">
        <f t="shared" si="9"/>
      </c>
    </row>
    <row r="25">
      <c r="A25" s="18" t="s">
        <v>75</v>
      </c>
      <c r="B25" s="26">
        <f t="shared" ref="B25:M25" si="10">IF(B26="","",IF(COLUMN()-1&lt;$D$3,"判定前",IF(B24="費用なし","判定しない",IF(AND(B24="上限超え",B21&lt;0.9),"撤退を検討","なし"))))</f>
      </c>
      <c r="C25" s="26">
        <f t="shared" si="10"/>
      </c>
      <c r="D25" s="26">
        <f t="shared" si="10"/>
      </c>
      <c r="E25" s="26">
        <f t="shared" si="10"/>
      </c>
      <c r="F25" s="26">
        <f t="shared" si="10"/>
      </c>
      <c r="G25" s="26">
        <f t="shared" si="10"/>
      </c>
      <c r="H25" s="26">
        <f t="shared" si="10"/>
      </c>
      <c r="I25" s="26">
        <f t="shared" si="10"/>
      </c>
      <c r="J25" s="26">
        <f t="shared" si="10"/>
      </c>
      <c r="K25" s="26">
        <f t="shared" si="10"/>
      </c>
      <c r="L25" s="26">
        <f t="shared" si="10"/>
      </c>
      <c r="M25" s="26">
        <f t="shared" si="10"/>
      </c>
    </row>
    <row r="26">
      <c r="A26" s="18" t="s">
        <v>76</v>
      </c>
      <c r="B26" s="21">
        <f t="shared" ref="B26:M26" si="11">IF(OR($B$3="",COLUMN()-1&lt;$B$3,B$14=""),"",SUM(INDEX($B$17:$M$17,$B$3):B$17)+SUM(INDEX($B$10:$M$10,$B$3):B$10))</f>
      </c>
      <c r="C26" s="21">
        <f t="shared" si="11"/>
      </c>
      <c r="D26" s="21">
        <f t="shared" si="11"/>
      </c>
      <c r="E26" s="21">
        <f t="shared" si="11"/>
      </c>
      <c r="F26" s="21">
        <f t="shared" si="11"/>
      </c>
      <c r="G26" s="21">
        <f t="shared" si="11"/>
      </c>
      <c r="H26" s="21">
        <f t="shared" si="11"/>
      </c>
      <c r="I26" s="21">
        <f t="shared" si="11"/>
      </c>
      <c r="J26" s="21">
        <f t="shared" si="11"/>
      </c>
      <c r="K26" s="21">
        <f t="shared" si="11"/>
      </c>
      <c r="L26" s="21">
        <f t="shared" si="11"/>
      </c>
      <c r="M26" s="21">
        <f t="shared" si="11"/>
      </c>
    </row>
    <row r="28">
      <c r="A28" s="4" t="s">
        <v>77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>
      <c r="A29" s="4" t="s">
        <v>78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>
      <c r="A30" s="4" t="s">
        <v>79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</sheetData>
  <conditionalFormatting sqref="O7:O9">
    <cfRule type="cellIs" dxfId="0" priority="1" stopIfTrue="1" operator="equal">
      <formula>"確認"</formula>
    </cfRule>
  </conditionalFormatting>
  <conditionalFormatting sqref="B24:M25">
    <cfRule type="cellIs" dxfId="0" priority="2" stopIfTrue="1" operator="equal">
      <formula>"上限超え"</formula>
    </cfRule>
  </conditionalFormatting>
  <conditionalFormatting sqref="B24:M25">
    <cfRule type="cellIs" dxfId="1" priority="3" stopIfTrue="1" operator="equal">
      <formula>"撤退を検討"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2" max="13" width="7.13"/>
    <col customWidth="1" min="14" max="14" width="8.13"/>
    <col customWidth="1" min="15" max="15" width="11.38"/>
  </cols>
  <sheetData>
    <row r="1">
      <c r="A1" s="1" t="s">
        <v>59</v>
      </c>
      <c r="D1" s="4" t="s">
        <v>4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18</v>
      </c>
      <c r="B2" s="10">
        <f t="array" ref="B2">IF(B3="","計画なし",INDEX($B$6:$M$6,B3))</f>
      </c>
      <c r="C2" s="3" t="s">
        <v>34</v>
      </c>
      <c r="D2" s="10">
        <f t="array" ref="D2">IF(D3="","",IF(D3&gt;12,"今期は判定なし",INDEX($B$6:$M$6,D3)))</f>
      </c>
      <c r="E2" s="3" t="s">
        <v>32</v>
      </c>
      <c r="F2" s="17">
        <f>'はじめに入力'!$I$5</f>
      </c>
    </row>
    <row r="3" hidden="1">
      <c r="A3" s="5" t="s">
        <v>35</v>
      </c>
      <c r="B3" s="10">
        <f t="array" ref="B3">IFERROR(MATCH(TRUE,INDEX($B$7:$M$7&gt;0,0),0),"")</f>
      </c>
      <c r="D3" s="10">
        <f>IF(B3="","",B3+6)</f>
      </c>
      <c r="F3" s="10">
        <f>MATCH($A$1,'はじめに入力'!$A$9:$A$14,0)</f>
      </c>
    </row>
    <row r="4">
      <c r="A4" s="3" t="s">
        <v>51</v>
      </c>
    </row>
    <row r="5">
      <c r="B5" s="19" t="s">
        <v>52</v>
      </c>
    </row>
    <row r="6">
      <c r="A6" s="8" t="s">
        <v>28</v>
      </c>
      <c r="B6" s="15">
        <f>MONTH(EDATE('はじめに入力'!$A$5,0))&amp;"月"</f>
      </c>
      <c r="C6" s="15">
        <f>MONTH(EDATE('はじめに入力'!$A$5,1))&amp;"月"</f>
      </c>
      <c r="D6" s="15">
        <f>MONTH(EDATE('はじめに入力'!$A$5,2))&amp;"月"</f>
      </c>
      <c r="E6" s="15">
        <f>MONTH(EDATE('はじめに入力'!$A$5,3))&amp;"月"</f>
      </c>
      <c r="F6" s="15">
        <f>MONTH(EDATE('はじめに入力'!$A$5,4))&amp;"月"</f>
      </c>
      <c r="G6" s="15">
        <f>MONTH(EDATE('はじめに入力'!$A$5,5))&amp;"月"</f>
      </c>
      <c r="H6" s="15">
        <f>MONTH(EDATE('はじめに入力'!$A$5,6))&amp;"月"</f>
      </c>
      <c r="I6" s="15">
        <f>MONTH(EDATE('はじめに入力'!$A$5,7))&amp;"月"</f>
      </c>
      <c r="J6" s="15">
        <f>MONTH(EDATE('はじめに入力'!$A$5,8))&amp;"月"</f>
      </c>
      <c r="K6" s="15">
        <f>MONTH(EDATE('はじめに入力'!$A$5,9))&amp;"月"</f>
      </c>
      <c r="L6" s="15">
        <f>MONTH(EDATE('はじめに入力'!$A$5,10))&amp;"月"</f>
      </c>
      <c r="M6" s="15">
        <f>MONTH(EDATE('はじめに入力'!$A$5,11))&amp;"月"</f>
      </c>
      <c r="N6" s="23" t="s">
        <v>54</v>
      </c>
      <c r="O6" s="23" t="s">
        <v>56</v>
      </c>
    </row>
    <row r="7">
      <c r="A7" s="18" t="s">
        <v>38</v>
      </c>
      <c r="B7" s="11">
        <v>1.0</v>
      </c>
      <c r="C7" s="11">
        <v>2.0</v>
      </c>
      <c r="D7" s="11">
        <v>1.0</v>
      </c>
      <c r="E7" s="11">
        <v>2.0</v>
      </c>
      <c r="F7" s="11">
        <v>1.0</v>
      </c>
      <c r="G7" s="11">
        <v>2.0</v>
      </c>
      <c r="H7" s="11">
        <v>2.0</v>
      </c>
      <c r="I7" s="11">
        <v>2.0</v>
      </c>
      <c r="J7" s="11">
        <v>2.0</v>
      </c>
      <c r="K7" s="11">
        <v>1.0</v>
      </c>
      <c r="L7" s="11">
        <v>2.0</v>
      </c>
      <c r="M7" s="11">
        <v>2.0</v>
      </c>
      <c r="N7" s="21">
        <f t="shared" ref="N7:N10" si="1">SUM(B7:M7)</f>
      </c>
      <c r="O7" s="26">
        <f t="array" ref="O7">IF(N7=INDEX('はじめに入力'!$B$9:$B$14,$F$3),"一致","確認")</f>
      </c>
    </row>
    <row r="8">
      <c r="A8" s="18" t="s">
        <v>40</v>
      </c>
      <c r="B8" s="11">
        <v>0.0</v>
      </c>
      <c r="C8" s="11">
        <v>1.0</v>
      </c>
      <c r="D8" s="11">
        <v>0.0</v>
      </c>
      <c r="E8" s="11">
        <v>1.0</v>
      </c>
      <c r="F8" s="11">
        <v>0.0</v>
      </c>
      <c r="G8" s="11">
        <v>1.0</v>
      </c>
      <c r="H8" s="11">
        <v>1.0</v>
      </c>
      <c r="I8" s="11">
        <v>1.0</v>
      </c>
      <c r="J8" s="11">
        <v>1.0</v>
      </c>
      <c r="K8" s="11">
        <v>0.0</v>
      </c>
      <c r="L8" s="11">
        <v>1.0</v>
      </c>
      <c r="M8" s="11">
        <v>1.0</v>
      </c>
      <c r="N8" s="21">
        <f t="shared" si="1"/>
      </c>
      <c r="O8" s="26">
        <f t="array" ref="O8">IF(N8=INDEX('はじめに入力'!$D$9:$D$14,$F$3),"一致","確認")</f>
      </c>
    </row>
    <row r="9">
      <c r="A9" s="18" t="s">
        <v>46</v>
      </c>
      <c r="B9" s="27">
        <f t="array" ref="B9">INDEX('はじめに入力'!$J$9:$J$14,$F$3)/12</f>
      </c>
      <c r="C9" s="27">
        <f t="array" ref="C9">INDEX('はじめに入力'!$J$9:$J$14,$F$3)/12</f>
      </c>
      <c r="D9" s="27">
        <f t="array" ref="D9">INDEX('はじめに入力'!$J$9:$J$14,$F$3)/12</f>
      </c>
      <c r="E9" s="27">
        <f t="array" ref="E9">INDEX('はじめに入力'!$J$9:$J$14,$F$3)/12</f>
      </c>
      <c r="F9" s="27">
        <f t="array" ref="F9">INDEX('はじめに入力'!$J$9:$J$14,$F$3)/12</f>
      </c>
      <c r="G9" s="27">
        <f t="array" ref="G9">INDEX('はじめに入力'!$J$9:$J$14,$F$3)/12</f>
      </c>
      <c r="H9" s="27">
        <f t="array" ref="H9">INDEX('はじめに入力'!$J$9:$J$14,$F$3)/12</f>
      </c>
      <c r="I9" s="27">
        <f t="array" ref="I9">INDEX('はじめに入力'!$J$9:$J$14,$F$3)/12</f>
      </c>
      <c r="J9" s="27">
        <f t="array" ref="J9">INDEX('はじめに入力'!$J$9:$J$14,$F$3)/12</f>
      </c>
      <c r="K9" s="27">
        <f t="array" ref="K9">INDEX('はじめに入力'!$J$9:$J$14,$F$3)/12</f>
      </c>
      <c r="L9" s="27">
        <f t="array" ref="L9">INDEX('はじめに入力'!$J$9:$J$14,$F$3)/12</f>
      </c>
      <c r="M9" s="27">
        <f t="array" ref="M9">INDEX('はじめに入力'!$J$9:$J$14,$F$3)/12</f>
      </c>
      <c r="N9" s="30">
        <f t="shared" si="1"/>
      </c>
      <c r="O9" s="26">
        <f t="array" ref="O9">IF(ROUND(N9,1)=ROUND(INDEX('はじめに入力'!$J$9:$J$14,$F$3),1),"一致","確認")</f>
      </c>
    </row>
    <row r="10">
      <c r="A10" s="18" t="s">
        <v>47</v>
      </c>
      <c r="B10" s="30">
        <f t="array" ref="B10">INDEX('はじめに入力'!$K$9:$K$14,$F$3)/12</f>
      </c>
      <c r="C10" s="30">
        <f t="array" ref="C10">INDEX('はじめに入力'!$K$9:$K$14,$F$3)/12</f>
      </c>
      <c r="D10" s="30">
        <f t="array" ref="D10">INDEX('はじめに入力'!$K$9:$K$14,$F$3)/12</f>
      </c>
      <c r="E10" s="30">
        <f t="array" ref="E10">INDEX('はじめに入力'!$K$9:$K$14,$F$3)/12</f>
      </c>
      <c r="F10" s="30">
        <f t="array" ref="F10">INDEX('はじめに入力'!$K$9:$K$14,$F$3)/12</f>
      </c>
      <c r="G10" s="30">
        <f t="array" ref="G10">INDEX('はじめに入力'!$K$9:$K$14,$F$3)/12</f>
      </c>
      <c r="H10" s="30">
        <f t="array" ref="H10">INDEX('はじめに入力'!$K$9:$K$14,$F$3)/12</f>
      </c>
      <c r="I10" s="30">
        <f t="array" ref="I10">INDEX('はじめに入力'!$K$9:$K$14,$F$3)/12</f>
      </c>
      <c r="J10" s="30">
        <f t="array" ref="J10">INDEX('はじめに入力'!$K$9:$K$14,$F$3)/12</f>
      </c>
      <c r="K10" s="30">
        <f t="array" ref="K10">INDEX('はじめに入力'!$K$9:$K$14,$F$3)/12</f>
      </c>
      <c r="L10" s="30">
        <f t="array" ref="L10">INDEX('はじめに入力'!$K$9:$K$14,$F$3)/12</f>
      </c>
      <c r="M10" s="30">
        <f t="array" ref="M10">INDEX('はじめに入力'!$K$9:$K$14,$F$3)/12</f>
      </c>
      <c r="N10" s="30">
        <f t="shared" si="1"/>
      </c>
      <c r="O10" s="24"/>
    </row>
    <row r="12">
      <c r="A12" s="3" t="s">
        <v>68</v>
      </c>
    </row>
    <row r="13">
      <c r="A13" s="47" t="s">
        <v>28</v>
      </c>
      <c r="B13" s="15">
        <f t="shared" ref="B13:M13" si="2">B$6</f>
      </c>
      <c r="C13" s="15">
        <f t="shared" si="2"/>
      </c>
      <c r="D13" s="15">
        <f t="shared" si="2"/>
      </c>
      <c r="E13" s="15">
        <f t="shared" si="2"/>
      </c>
      <c r="F13" s="15">
        <f t="shared" si="2"/>
      </c>
      <c r="G13" s="15">
        <f t="shared" si="2"/>
      </c>
      <c r="H13" s="15">
        <f t="shared" si="2"/>
      </c>
      <c r="I13" s="15">
        <f t="shared" si="2"/>
      </c>
      <c r="J13" s="15">
        <f t="shared" si="2"/>
      </c>
      <c r="K13" s="15">
        <f t="shared" si="2"/>
      </c>
      <c r="L13" s="15">
        <f t="shared" si="2"/>
      </c>
      <c r="M13" s="15">
        <f t="shared" si="2"/>
      </c>
      <c r="N13" s="23" t="s">
        <v>54</v>
      </c>
    </row>
    <row r="14">
      <c r="A14" s="18" t="s">
        <v>38</v>
      </c>
      <c r="B14" s="53">
        <f t="array" ref="B14">IF(INDEX('毎月の実績入力'!C$12:C$45,($F$3-1)*6+1)="","",INDEX('毎月の実績入力'!C$12:C$45,($F$3-1)*6+1))</f>
      </c>
      <c r="C14" s="53">
        <f t="array" ref="C14">IF(INDEX('毎月の実績入力'!D$12:D$45,($F$3-1)*6+1)="","",INDEX('毎月の実績入力'!D$12:D$45,($F$3-1)*6+1))</f>
      </c>
      <c r="D14" s="53">
        <f t="array" ref="D14">IF(INDEX('毎月の実績入力'!E$12:E$45,($F$3-1)*6+1)="","",INDEX('毎月の実績入力'!E$12:E$45,($F$3-1)*6+1))</f>
      </c>
      <c r="E14" s="53">
        <f t="array" ref="E14">IF(INDEX('毎月の実績入力'!F$12:F$45,($F$3-1)*6+1)="","",INDEX('毎月の実績入力'!F$12:F$45,($F$3-1)*6+1))</f>
      </c>
      <c r="F14" s="53">
        <f t="array" ref="F14">IF(INDEX('毎月の実績入力'!G$12:G$45,($F$3-1)*6+1)="","",INDEX('毎月の実績入力'!G$12:G$45,($F$3-1)*6+1))</f>
      </c>
      <c r="G14" s="53">
        <f t="array" ref="G14">IF(INDEX('毎月の実績入力'!H$12:H$45,($F$3-1)*6+1)="","",INDEX('毎月の実績入力'!H$12:H$45,($F$3-1)*6+1))</f>
      </c>
      <c r="H14" s="53">
        <f t="array" ref="H14">IF(INDEX('毎月の実績入力'!I$12:I$45,($F$3-1)*6+1)="","",INDEX('毎月の実績入力'!I$12:I$45,($F$3-1)*6+1))</f>
      </c>
      <c r="I14" s="54">
        <f t="array" ref="I14">IF(INDEX('毎月の実績入力'!J$12:J$45,($F$3-1)*6+1)="","",INDEX('毎月の実績入力'!J$12:J$45,($F$3-1)*6+1))</f>
      </c>
      <c r="J14" s="54">
        <f t="array" ref="J14">IF(INDEX('毎月の実績入力'!K$12:K$45,($F$3-1)*6+1)="","",INDEX('毎月の実績入力'!K$12:K$45,($F$3-1)*6+1))</f>
      </c>
      <c r="K14" s="54">
        <f t="array" ref="K14">IF(INDEX('毎月の実績入力'!L$12:L$45,($F$3-1)*6+1)="","",INDEX('毎月の実績入力'!L$12:L$45,($F$3-1)*6+1))</f>
      </c>
      <c r="L14" s="54">
        <f t="array" ref="L14">IF(INDEX('毎月の実績入力'!M$12:M$45,($F$3-1)*6+1)="","",INDEX('毎月の実績入力'!M$12:M$45,($F$3-1)*6+1))</f>
      </c>
      <c r="M14" s="54">
        <f t="array" ref="M14">IF(INDEX('毎月の実績入力'!N$12:N$45,($F$3-1)*6+1)="","",INDEX('毎月の実績入力'!N$12:N$45,($F$3-1)*6+1))</f>
      </c>
      <c r="N14" s="54">
        <f>SUM(B14:M14)</f>
      </c>
    </row>
    <row r="15">
      <c r="A15" s="18" t="s">
        <v>39</v>
      </c>
      <c r="B15" s="55">
        <f t="shared" ref="B15:M15" si="3">IF(OR(B14="",B16=""),"",IFERROR(B16/B14,""))</f>
      </c>
      <c r="C15" s="55">
        <f t="shared" si="3"/>
      </c>
      <c r="D15" s="55">
        <f t="shared" si="3"/>
      </c>
      <c r="E15" s="55">
        <f t="shared" si="3"/>
      </c>
      <c r="F15" s="55">
        <f t="shared" si="3"/>
      </c>
      <c r="G15" s="55">
        <f t="shared" si="3"/>
      </c>
      <c r="H15" s="55">
        <f t="shared" si="3"/>
      </c>
      <c r="I15" s="55">
        <f t="shared" si="3"/>
      </c>
      <c r="J15" s="55">
        <f t="shared" si="3"/>
      </c>
      <c r="K15" s="55">
        <f t="shared" si="3"/>
      </c>
      <c r="L15" s="55">
        <f t="shared" si="3"/>
      </c>
      <c r="M15" s="55">
        <f t="shared" si="3"/>
      </c>
      <c r="N15" s="55">
        <f>IFERROR(N16/N14,"")</f>
      </c>
    </row>
    <row r="16">
      <c r="A16" s="18" t="s">
        <v>40</v>
      </c>
      <c r="B16" s="53">
        <f t="array" ref="B16">IF(INDEX('毎月の実績入力'!C$12:C$45,($F$3-1)*6+2)="","",INDEX('毎月の実績入力'!C$12:C$45,($F$3-1)*6+2))</f>
      </c>
      <c r="C16" s="53">
        <f t="array" ref="C16">IF(INDEX('毎月の実績入力'!D$12:D$45,($F$3-1)*6+2)="","",INDEX('毎月の実績入力'!D$12:D$45,($F$3-1)*6+2))</f>
      </c>
      <c r="D16" s="53">
        <f t="array" ref="D16">IF(INDEX('毎月の実績入力'!E$12:E$45,($F$3-1)*6+2)="","",INDEX('毎月の実績入力'!E$12:E$45,($F$3-1)*6+2))</f>
      </c>
      <c r="E16" s="53">
        <f t="array" ref="E16">IF(INDEX('毎月の実績入力'!F$12:F$45,($F$3-1)*6+2)="","",INDEX('毎月の実績入力'!F$12:F$45,($F$3-1)*6+2))</f>
      </c>
      <c r="F16" s="53">
        <f t="array" ref="F16">IF(INDEX('毎月の実績入力'!G$12:G$45,($F$3-1)*6+2)="","",INDEX('毎月の実績入力'!G$12:G$45,($F$3-1)*6+2))</f>
      </c>
      <c r="G16" s="53">
        <f t="array" ref="G16">IF(INDEX('毎月の実績入力'!H$12:H$45,($F$3-1)*6+2)="","",INDEX('毎月の実績入力'!H$12:H$45,($F$3-1)*6+2))</f>
      </c>
      <c r="H16" s="53">
        <f t="array" ref="H16">IF(INDEX('毎月の実績入力'!I$12:I$45,($F$3-1)*6+2)="","",INDEX('毎月の実績入力'!I$12:I$45,($F$3-1)*6+2))</f>
      </c>
      <c r="I16" s="54">
        <f t="array" ref="I16">IF(INDEX('毎月の実績入力'!J$12:J$45,($F$3-1)*6+2)="","",INDEX('毎月の実績入力'!J$12:J$45,($F$3-1)*6+2))</f>
      </c>
      <c r="J16" s="54">
        <f t="array" ref="J16">IF(INDEX('毎月の実績入力'!K$12:K$45,($F$3-1)*6+2)="","",INDEX('毎月の実績入力'!K$12:K$45,($F$3-1)*6+2))</f>
      </c>
      <c r="K16" s="54">
        <f t="array" ref="K16">IF(INDEX('毎月の実績入力'!L$12:L$45,($F$3-1)*6+2)="","",INDEX('毎月の実績入力'!L$12:L$45,($F$3-1)*6+2))</f>
      </c>
      <c r="L16" s="54">
        <f t="array" ref="L16">IF(INDEX('毎月の実績入力'!M$12:M$45,($F$3-1)*6+2)="","",INDEX('毎月の実績入力'!M$12:M$45,($F$3-1)*6+2))</f>
      </c>
      <c r="M16" s="54">
        <f t="array" ref="M16">IF(INDEX('毎月の実績入力'!N$12:N$45,($F$3-1)*6+2)="","",INDEX('毎月の実績入力'!N$12:N$45,($F$3-1)*6+2))</f>
      </c>
      <c r="N16" s="54">
        <f t="shared" ref="N16:N17" si="4">SUM(B16:M16)</f>
      </c>
    </row>
    <row r="17">
      <c r="A17" s="18" t="s">
        <v>46</v>
      </c>
      <c r="B17" s="53">
        <f t="array" ref="B17">IF(INDEX('毎月の実績入力'!C$12:C$45,($F$3-1)*6+3)="","",INDEX('毎月の実績入力'!C$12:C$45,($F$3-1)*6+3))</f>
      </c>
      <c r="C17" s="53">
        <f t="array" ref="C17">IF(INDEX('毎月の実績入力'!D$12:D$45,($F$3-1)*6+3)="","",INDEX('毎月の実績入力'!D$12:D$45,($F$3-1)*6+3))</f>
      </c>
      <c r="D17" s="53">
        <f t="array" ref="D17">IF(INDEX('毎月の実績入力'!E$12:E$45,($F$3-1)*6+3)="","",INDEX('毎月の実績入力'!E$12:E$45,($F$3-1)*6+3))</f>
      </c>
      <c r="E17" s="53">
        <f t="array" ref="E17">IF(INDEX('毎月の実績入力'!F$12:F$45,($F$3-1)*6+3)="","",INDEX('毎月の実績入力'!F$12:F$45,($F$3-1)*6+3))</f>
      </c>
      <c r="F17" s="53">
        <f t="array" ref="F17">IF(INDEX('毎月の実績入力'!G$12:G$45,($F$3-1)*6+3)="","",INDEX('毎月の実績入力'!G$12:G$45,($F$3-1)*6+3))</f>
      </c>
      <c r="G17" s="53">
        <f t="array" ref="G17">IF(INDEX('毎月の実績入力'!H$12:H$45,($F$3-1)*6+3)="","",INDEX('毎月の実績入力'!H$12:H$45,($F$3-1)*6+3))</f>
      </c>
      <c r="H17" s="53">
        <f t="array" ref="H17">IF(INDEX('毎月の実績入力'!I$12:I$45,($F$3-1)*6+3)="","",INDEX('毎月の実績入力'!I$12:I$45,($F$3-1)*6+3))</f>
      </c>
      <c r="I17" s="54">
        <f t="array" ref="I17">IF(INDEX('毎月の実績入力'!J$12:J$45,($F$3-1)*6+3)="","",INDEX('毎月の実績入力'!J$12:J$45,($F$3-1)*6+3))</f>
      </c>
      <c r="J17" s="54">
        <f t="array" ref="J17">IF(INDEX('毎月の実績入力'!K$12:K$45,($F$3-1)*6+3)="","",INDEX('毎月の実績入力'!K$12:K$45,($F$3-1)*6+3))</f>
      </c>
      <c r="K17" s="54">
        <f t="array" ref="K17">IF(INDEX('毎月の実績入力'!L$12:L$45,($F$3-1)*6+3)="","",INDEX('毎月の実績入力'!L$12:L$45,($F$3-1)*6+3))</f>
      </c>
      <c r="L17" s="54">
        <f t="array" ref="L17">IF(INDEX('毎月の実績入力'!M$12:M$45,($F$3-1)*6+3)="","",INDEX('毎月の実績入力'!M$12:M$45,($F$3-1)*6+3))</f>
      </c>
      <c r="M17" s="54">
        <f t="array" ref="M17">IF(INDEX('毎月の実績入力'!N$12:N$45,($F$3-1)*6+3)="","",INDEX('毎月の実績入力'!N$12:N$45,($F$3-1)*6+3))</f>
      </c>
      <c r="N17" s="54">
        <f t="shared" si="4"/>
      </c>
    </row>
    <row r="19">
      <c r="A19" s="3" t="s">
        <v>72</v>
      </c>
    </row>
    <row r="20">
      <c r="A20" s="8" t="s">
        <v>28</v>
      </c>
      <c r="B20" s="15">
        <f t="shared" ref="B20:M20" si="5">B$6</f>
      </c>
      <c r="C20" s="15">
        <f t="shared" si="5"/>
      </c>
      <c r="D20" s="15">
        <f t="shared" si="5"/>
      </c>
      <c r="E20" s="15">
        <f t="shared" si="5"/>
      </c>
      <c r="F20" s="15">
        <f t="shared" si="5"/>
      </c>
      <c r="G20" s="15">
        <f t="shared" si="5"/>
      </c>
      <c r="H20" s="15">
        <f t="shared" si="5"/>
      </c>
      <c r="I20" s="15">
        <f t="shared" si="5"/>
      </c>
      <c r="J20" s="15">
        <f t="shared" si="5"/>
      </c>
      <c r="K20" s="15">
        <f t="shared" si="5"/>
      </c>
      <c r="L20" s="15">
        <f t="shared" si="5"/>
      </c>
      <c r="M20" s="15">
        <f t="shared" si="5"/>
      </c>
    </row>
    <row r="21">
      <c r="A21" s="18" t="s">
        <v>73</v>
      </c>
      <c r="B21" s="20">
        <f t="shared" ref="B21:M21" si="6">IF(B26="","",IFERROR(SUM(INDEX($B$14:$M$14,$B$3):B$14)/SUM(INDEX($B$7:$M$7,$B$3):B$7),""))</f>
      </c>
      <c r="C21" s="20">
        <f t="shared" si="6"/>
      </c>
      <c r="D21" s="20">
        <f t="shared" si="6"/>
      </c>
      <c r="E21" s="20">
        <f t="shared" si="6"/>
      </c>
      <c r="F21" s="20">
        <f t="shared" si="6"/>
      </c>
      <c r="G21" s="20">
        <f t="shared" si="6"/>
      </c>
      <c r="H21" s="20">
        <f t="shared" si="6"/>
      </c>
      <c r="I21" s="20">
        <f t="shared" si="6"/>
      </c>
      <c r="J21" s="20">
        <f t="shared" si="6"/>
      </c>
      <c r="K21" s="20">
        <f t="shared" si="6"/>
      </c>
      <c r="L21" s="20">
        <f t="shared" si="6"/>
      </c>
      <c r="M21" s="20">
        <f t="shared" si="6"/>
      </c>
    </row>
    <row r="22">
      <c r="A22" s="18" t="s">
        <v>74</v>
      </c>
      <c r="B22" s="20">
        <f t="shared" ref="B22:M22" si="7">IF(B26="","",IFERROR(SUM(INDEX($B$16:$M$16,$B$3):B$16)/SUM(INDEX($B$8:$M$8,$B$3):B$8),""))</f>
      </c>
      <c r="C22" s="20">
        <f t="shared" si="7"/>
      </c>
      <c r="D22" s="20">
        <f t="shared" si="7"/>
      </c>
      <c r="E22" s="20">
        <f t="shared" si="7"/>
      </c>
      <c r="F22" s="20">
        <f t="shared" si="7"/>
      </c>
      <c r="G22" s="20">
        <f t="shared" si="7"/>
      </c>
      <c r="H22" s="20">
        <f t="shared" si="7"/>
      </c>
      <c r="I22" s="20">
        <f t="shared" si="7"/>
      </c>
      <c r="J22" s="20">
        <f t="shared" si="7"/>
      </c>
      <c r="K22" s="20">
        <f t="shared" si="7"/>
      </c>
      <c r="L22" s="20">
        <f t="shared" si="7"/>
      </c>
      <c r="M22" s="20">
        <f t="shared" si="7"/>
      </c>
    </row>
    <row r="23">
      <c r="A23" s="18" t="s">
        <v>48</v>
      </c>
      <c r="B23" s="16">
        <f t="shared" ref="B23:M23" si="8">IF(B26="","",IFERROR(B26/SUM(INDEX($B$14:$M$14,$B$3):B$14),"―"))</f>
      </c>
      <c r="C23" s="16">
        <f t="shared" si="8"/>
      </c>
      <c r="D23" s="16">
        <f t="shared" si="8"/>
      </c>
      <c r="E23" s="16">
        <f t="shared" si="8"/>
      </c>
      <c r="F23" s="16">
        <f t="shared" si="8"/>
      </c>
      <c r="G23" s="16">
        <f t="shared" si="8"/>
      </c>
      <c r="H23" s="16">
        <f t="shared" si="8"/>
      </c>
      <c r="I23" s="16">
        <f t="shared" si="8"/>
      </c>
      <c r="J23" s="16">
        <f t="shared" si="8"/>
      </c>
      <c r="K23" s="16">
        <f t="shared" si="8"/>
      </c>
      <c r="L23" s="16">
        <f t="shared" si="8"/>
      </c>
      <c r="M23" s="16">
        <f t="shared" si="8"/>
      </c>
    </row>
    <row r="24">
      <c r="A24" s="18" t="s">
        <v>70</v>
      </c>
      <c r="B24" s="26">
        <f t="shared" ref="B24:M24" si="9">IF(B26="","",IF(SUM(INDEX($B$17:$M$17,$B$3):B$17)=0,"費用なし",IF(OR(B23="―",B23&gt;$F$2),"上限超え","上限内")))</f>
      </c>
      <c r="C24" s="26">
        <f t="shared" si="9"/>
      </c>
      <c r="D24" s="26">
        <f t="shared" si="9"/>
      </c>
      <c r="E24" s="26">
        <f t="shared" si="9"/>
      </c>
      <c r="F24" s="26">
        <f t="shared" si="9"/>
      </c>
      <c r="G24" s="26">
        <f t="shared" si="9"/>
      </c>
      <c r="H24" s="26">
        <f t="shared" si="9"/>
      </c>
      <c r="I24" s="26">
        <f t="shared" si="9"/>
      </c>
      <c r="J24" s="26">
        <f t="shared" si="9"/>
      </c>
      <c r="K24" s="26">
        <f t="shared" si="9"/>
      </c>
      <c r="L24" s="26">
        <f t="shared" si="9"/>
      </c>
      <c r="M24" s="26">
        <f t="shared" si="9"/>
      </c>
    </row>
    <row r="25">
      <c r="A25" s="18" t="s">
        <v>75</v>
      </c>
      <c r="B25" s="26">
        <f t="shared" ref="B25:M25" si="10">IF(B26="","",IF(COLUMN()-1&lt;$D$3,"判定前",IF(B24="費用なし","判定しない",IF(AND(B24="上限超え",B21&lt;0.9),"撤退を検討","なし"))))</f>
      </c>
      <c r="C25" s="26">
        <f t="shared" si="10"/>
      </c>
      <c r="D25" s="26">
        <f t="shared" si="10"/>
      </c>
      <c r="E25" s="26">
        <f t="shared" si="10"/>
      </c>
      <c r="F25" s="26">
        <f t="shared" si="10"/>
      </c>
      <c r="G25" s="26">
        <f t="shared" si="10"/>
      </c>
      <c r="H25" s="26">
        <f t="shared" si="10"/>
      </c>
      <c r="I25" s="26">
        <f t="shared" si="10"/>
      </c>
      <c r="J25" s="26">
        <f t="shared" si="10"/>
      </c>
      <c r="K25" s="26">
        <f t="shared" si="10"/>
      </c>
      <c r="L25" s="26">
        <f t="shared" si="10"/>
      </c>
      <c r="M25" s="26">
        <f t="shared" si="10"/>
      </c>
    </row>
    <row r="26">
      <c r="A26" s="18" t="s">
        <v>76</v>
      </c>
      <c r="B26" s="21">
        <f t="shared" ref="B26:M26" si="11">IF(OR($B$3="",COLUMN()-1&lt;$B$3,B$14=""),"",SUM(INDEX($B$17:$M$17,$B$3):B$17)+SUM(INDEX($B$10:$M$10,$B$3):B$10))</f>
      </c>
      <c r="C26" s="21">
        <f t="shared" si="11"/>
      </c>
      <c r="D26" s="21">
        <f t="shared" si="11"/>
      </c>
      <c r="E26" s="21">
        <f t="shared" si="11"/>
      </c>
      <c r="F26" s="21">
        <f t="shared" si="11"/>
      </c>
      <c r="G26" s="21">
        <f t="shared" si="11"/>
      </c>
      <c r="H26" s="21">
        <f t="shared" si="11"/>
      </c>
      <c r="I26" s="21">
        <f t="shared" si="11"/>
      </c>
      <c r="J26" s="21">
        <f t="shared" si="11"/>
      </c>
      <c r="K26" s="21">
        <f t="shared" si="11"/>
      </c>
      <c r="L26" s="21">
        <f t="shared" si="11"/>
      </c>
      <c r="M26" s="21">
        <f t="shared" si="11"/>
      </c>
    </row>
    <row r="28">
      <c r="A28" s="4" t="s">
        <v>77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>
      <c r="A29" s="4" t="s">
        <v>78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>
      <c r="A30" s="4" t="s">
        <v>79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</sheetData>
  <conditionalFormatting sqref="O7:O9">
    <cfRule type="cellIs" dxfId="0" priority="1" stopIfTrue="1" operator="equal">
      <formula>"確認"</formula>
    </cfRule>
  </conditionalFormatting>
  <conditionalFormatting sqref="B24:M25">
    <cfRule type="cellIs" dxfId="0" priority="2" stopIfTrue="1" operator="equal">
      <formula>"上限超え"</formula>
    </cfRule>
  </conditionalFormatting>
  <conditionalFormatting sqref="B24:M25">
    <cfRule type="cellIs" dxfId="1" priority="3" stopIfTrue="1" operator="equal">
      <formula>"撤退を検討"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88"/>
    <col customWidth="1" min="2" max="11" width="11.63"/>
  </cols>
  <sheetData>
    <row r="1">
      <c r="A1" s="1" t="s">
        <v>80</v>
      </c>
      <c r="D1" s="4" t="s">
        <v>4</v>
      </c>
      <c r="E1" s="2"/>
      <c r="F1" s="2"/>
      <c r="G1" s="2"/>
      <c r="H1" s="2"/>
      <c r="I1" s="2"/>
    </row>
    <row r="3">
      <c r="A3" s="3" t="s">
        <v>81</v>
      </c>
    </row>
    <row r="4">
      <c r="A4" s="8" t="s">
        <v>28</v>
      </c>
      <c r="B4" s="23" t="s">
        <v>38</v>
      </c>
      <c r="C4" s="23" t="s">
        <v>39</v>
      </c>
      <c r="D4" s="23" t="s">
        <v>40</v>
      </c>
      <c r="E4" s="23" t="s">
        <v>41</v>
      </c>
      <c r="F4" s="23" t="s">
        <v>42</v>
      </c>
      <c r="G4" s="23" t="s">
        <v>43</v>
      </c>
      <c r="H4" s="23" t="s">
        <v>44</v>
      </c>
      <c r="I4" s="23" t="s">
        <v>82</v>
      </c>
      <c r="J4" s="23" t="s">
        <v>49</v>
      </c>
      <c r="K4" s="23" t="s">
        <v>27</v>
      </c>
    </row>
    <row r="5">
      <c r="A5" s="18" t="s">
        <v>83</v>
      </c>
      <c r="B5" s="21">
        <f>'はじめに入力'!B15</f>
      </c>
      <c r="C5" s="20">
        <f>'はじめに入力'!C15</f>
      </c>
      <c r="D5" s="21">
        <f>'はじめに入力'!D15</f>
      </c>
      <c r="E5" s="20">
        <f>'はじめに入力'!E15</f>
      </c>
      <c r="F5" s="21">
        <f>'はじめに入力'!F15</f>
      </c>
      <c r="G5" s="20">
        <f>'はじめに入力'!G15</f>
      </c>
      <c r="H5" s="21">
        <f>'はじめに入力'!H15</f>
      </c>
      <c r="I5" s="21">
        <f>'はじめに入力'!J15+'はじめに入力'!K15+'はじめに入力'!K5</f>
      </c>
      <c r="J5" s="21">
        <f>IFERROR(I5/H5,"")</f>
      </c>
      <c r="K5" s="16">
        <f>IFERROR(J5/'はじめに入力'!G5,"")</f>
      </c>
    </row>
    <row r="6">
      <c r="A6" s="18" t="s">
        <v>84</v>
      </c>
      <c r="B6" s="21">
        <f>IF(AND(F6="",H6=""),"",'展示会'!N14+'セミナー'!N14+'Web広告'!N14+'自社サイト'!N14+SNS!N14+'メール'!N14)</f>
      </c>
      <c r="C6" s="20">
        <f>IFERROR(D6/B6,"")</f>
      </c>
      <c r="D6" s="21">
        <f>IF(AND(F6="",H6=""),"",'展示会'!N16+'セミナー'!N16+'Web広告'!N16+'自社サイト'!N16+SNS!N16+'メール'!N16)</f>
      </c>
      <c r="E6" s="20">
        <f>IFERROR(F6/D6,"")</f>
      </c>
      <c r="F6" s="11"/>
      <c r="G6" s="20">
        <f>IFERROR(H6/F6,"")</f>
      </c>
      <c r="H6" s="11"/>
      <c r="I6" s="21">
        <f>IF(H6="","",'展示会'!N17+'セミナー'!N17+'Web広告'!N17+'自社サイト'!N17+SNS!N17+'メール'!N17+'はじめに入力'!K15+'はじめに入力'!K5)</f>
      </c>
      <c r="J6" s="21">
        <f>IF(H6="","",IFERROR(I6/H6,""))</f>
      </c>
      <c r="K6" s="16">
        <f>IF(J6="","",IFERROR(J6/'はじめに入力'!G5,""))</f>
      </c>
    </row>
    <row r="7">
      <c r="A7" s="18" t="s">
        <v>85</v>
      </c>
      <c r="B7" s="20">
        <f>IF(B6="","",IFERROR(B6/B5,""))</f>
      </c>
      <c r="C7" s="56">
        <f>IF(C6="","",IFERROR((C6-C5)*100,""))</f>
      </c>
      <c r="D7" s="20">
        <f>IF(D6="","",IFERROR(D6/D5,""))</f>
      </c>
      <c r="E7" s="56">
        <f>IF(E6="","",IFERROR((E6-E5)*100,""))</f>
      </c>
      <c r="F7" s="20">
        <f>IF(F6="","",IFERROR(F6/F5,""))</f>
      </c>
      <c r="G7" s="56">
        <f>IF(G6="","",IFERROR((G6-G5)*100,""))</f>
      </c>
      <c r="H7" s="20">
        <f t="shared" ref="H7:I7" si="1">IF(H6="","",IFERROR(H6/H5,""))</f>
      </c>
      <c r="I7" s="20">
        <f t="shared" si="1"/>
      </c>
      <c r="J7" s="57">
        <f t="shared" ref="J7:K7" si="2">IF(J6="","",J6-J5)</f>
      </c>
      <c r="K7" s="58">
        <f t="shared" si="2"/>
      </c>
    </row>
    <row r="8">
      <c r="A8" s="18" t="s">
        <v>70</v>
      </c>
      <c r="B8" s="26">
        <f>IF(B7="","",IF(B7&gt;=1,"達成",IF(B7&gt;=0.9,"やや届かない","届かない")))</f>
      </c>
      <c r="C8" s="26"/>
      <c r="D8" s="26">
        <f>IF(D7="","",IF(D7&gt;=1,"達成",IF(D7&gt;=0.9,"やや届かない","届かない")))</f>
      </c>
      <c r="E8" s="26"/>
      <c r="F8" s="26">
        <f>IF(F7="","",IF(F7&gt;=1,"達成",IF(F7&gt;=0.9,"やや届かない","届かない")))</f>
      </c>
      <c r="G8" s="26"/>
      <c r="H8" s="26">
        <f>IF(H7="","",IF(H7&gt;=1,"達成",IF(H7&gt;=0.9,"やや届かない","届かない")))</f>
      </c>
      <c r="I8" s="26"/>
      <c r="J8" s="26">
        <f>IF(J6="","",IF(J6&lt;='はじめに入力'!H5,"上限内","上限超え"))</f>
      </c>
      <c r="K8" s="26">
        <f>IF(K6="","",IF(K6&lt;='はじめに入力'!E5*12,"上限内","上限超え"))</f>
      </c>
    </row>
    <row r="9">
      <c r="A9" s="4" t="s">
        <v>86</v>
      </c>
      <c r="B9" s="2"/>
      <c r="C9" s="2"/>
      <c r="D9" s="2"/>
      <c r="E9" s="2"/>
      <c r="F9" s="2"/>
      <c r="G9" s="2"/>
      <c r="H9" s="2"/>
      <c r="I9" s="2"/>
    </row>
    <row r="11">
      <c r="A11" s="3" t="s">
        <v>87</v>
      </c>
      <c r="B11" s="59" t="s">
        <v>88</v>
      </c>
      <c r="C11" s="3" t="s">
        <v>89</v>
      </c>
      <c r="D11" s="60">
        <f>IFERROR(MATCH(B11,'展示会'!$B$6:$M$6,0),"")</f>
      </c>
    </row>
    <row r="13">
      <c r="A13" s="3" t="s">
        <v>90</v>
      </c>
    </row>
    <row r="14">
      <c r="A14" s="8" t="s">
        <v>28</v>
      </c>
      <c r="B14" s="23" t="s">
        <v>38</v>
      </c>
      <c r="C14" s="23" t="s">
        <v>39</v>
      </c>
      <c r="D14" s="23" t="s">
        <v>40</v>
      </c>
      <c r="F14" s="23" t="s">
        <v>46</v>
      </c>
      <c r="G14" s="23" t="s">
        <v>47</v>
      </c>
    </row>
    <row r="15">
      <c r="A15" s="18" t="s">
        <v>91</v>
      </c>
      <c r="B15" s="21">
        <f>IF($D$11="","",SUM(OFFSET('展示会'!$B$7,0,0,1,$D$11))+SUM(OFFSET('セミナー'!$B$7,0,0,1,$D$11))+SUM(OFFSET('Web広告'!$B$7,0,0,1,$D$11))+SUM(OFFSET('自社サイト'!$B$7,0,0,1,$D$11))+SUM(OFFSET(SNS!$B$7,0,0,1,$D$11))+SUM(OFFSET('メール'!$B$7,0,0,1,$D$11)))</f>
      </c>
      <c r="C15" s="20">
        <f t="shared" ref="C15:C16" si="3">IFERROR(D15/B15,"")</f>
      </c>
      <c r="D15" s="21">
        <f>IF($D$11="","",SUM(OFFSET('展示会'!$B$8,0,0,1,$D$11))+SUM(OFFSET('セミナー'!$B$8,0,0,1,$D$11))+SUM(OFFSET('Web広告'!$B$8,0,0,1,$D$11))+SUM(OFFSET('自社サイト'!$B$8,0,0,1,$D$11))+SUM(OFFSET(SNS!$B$8,0,0,1,$D$11))+SUM(OFFSET('メール'!$B$8,0,0,1,$D$11)))</f>
      </c>
      <c r="F15" s="21">
        <f>IF($D$11="","",SUM(OFFSET('展示会'!$B$9,0,0,1,$D$11))+SUM(OFFSET('セミナー'!$B$9,0,0,1,$D$11))+SUM(OFFSET('Web広告'!$B$9,0,0,1,$D$11))+SUM(OFFSET('自社サイト'!$B$9,0,0,1,$D$11))+SUM(OFFSET(SNS!$B$9,0,0,1,$D$11))+SUM(OFFSET('メール'!$B$9,0,0,1,$D$11)))</f>
      </c>
      <c r="G15" s="21">
        <f>IF($D$11="","",SUM(OFFSET('展示会'!$B$10,0,0,1,$D$11))+SUM(OFFSET('セミナー'!$B$10,0,0,1,$D$11))+SUM(OFFSET('Web広告'!$B$10,0,0,1,$D$11))+SUM(OFFSET('自社サイト'!$B$10,0,0,1,$D$11))+SUM(OFFSET(SNS!$B$10,0,0,1,$D$11))+SUM(OFFSET('メール'!$B$10,0,0,1,$D$11)))</f>
      </c>
    </row>
    <row r="16">
      <c r="A16" s="18" t="s">
        <v>92</v>
      </c>
      <c r="B16" s="21">
        <f>IF($D$11="","",SUM(OFFSET('展示会'!$B$14,0,0,1,$D$11))+SUM(OFFSET('セミナー'!$B$14,0,0,1,$D$11))+SUM(OFFSET('Web広告'!$B$14,0,0,1,$D$11))+SUM(OFFSET('自社サイト'!$B$14,0,0,1,$D$11))+SUM(OFFSET(SNS!$B$14,0,0,1,$D$11))+SUM(OFFSET('メール'!$B$14,0,0,1,$D$11)))</f>
      </c>
      <c r="C16" s="20">
        <f t="shared" si="3"/>
      </c>
      <c r="D16" s="21">
        <f>IF($D$11="","",SUM(OFFSET('展示会'!$B$16,0,0,1,$D$11))+SUM(OFFSET('セミナー'!$B$16,0,0,1,$D$11))+SUM(OFFSET('Web広告'!$B$16,0,0,1,$D$11))+SUM(OFFSET('自社サイト'!$B$16,0,0,1,$D$11))+SUM(OFFSET(SNS!$B$16,0,0,1,$D$11))+SUM(OFFSET('メール'!$B$16,0,0,1,$D$11)))</f>
      </c>
      <c r="F16" s="21">
        <f>IF($D$11="","",SUM(OFFSET('展示会'!$B$17,0,0,1,$D$11))+SUM(OFFSET('セミナー'!$B$17,0,0,1,$D$11))+SUM(OFFSET('Web広告'!$B$17,0,0,1,$D$11))+SUM(OFFSET('自社サイト'!$B$17,0,0,1,$D$11))+SUM(OFFSET(SNS!$B$17,0,0,1,$D$11))+SUM(OFFSET('メール'!$B$17,0,0,1,$D$11)))</f>
      </c>
      <c r="G16" s="21">
        <f>G15</f>
      </c>
    </row>
    <row r="17">
      <c r="A17" s="18" t="s">
        <v>85</v>
      </c>
      <c r="B17" s="20">
        <f>IFERROR(B16/B15,"")</f>
      </c>
      <c r="C17" s="56">
        <f>IFERROR((C16-C15)*100,"")</f>
      </c>
      <c r="D17" s="20">
        <f>IFERROR(D16/D15,"")</f>
      </c>
      <c r="F17" s="20">
        <f t="shared" ref="F17:G17" si="4">IFERROR(F16/F15,"")</f>
      </c>
      <c r="G17" s="20">
        <f t="shared" si="4"/>
      </c>
    </row>
    <row r="18">
      <c r="A18" s="18" t="s">
        <v>70</v>
      </c>
      <c r="B18" s="26">
        <f>IF(B17="","",IF(B17&gt;=1,"達成",IF(B17&gt;=0.9,"やや届かない","届かない")))</f>
      </c>
      <c r="C18" s="61" t="s">
        <v>71</v>
      </c>
      <c r="D18" s="26">
        <f>IF(D17="","",IF(D17&gt;=1,"達成",IF(D17&gt;=0.9,"やや届かない","届かない")))</f>
      </c>
      <c r="F18" s="26"/>
      <c r="G18" s="26"/>
    </row>
    <row r="19">
      <c r="A19" s="4" t="s">
        <v>93</v>
      </c>
      <c r="B19" s="2"/>
      <c r="C19" s="2"/>
      <c r="D19" s="2"/>
      <c r="E19" s="2"/>
      <c r="F19" s="2"/>
      <c r="G19" s="2"/>
      <c r="H19" s="2"/>
      <c r="I19" s="2"/>
    </row>
    <row r="21">
      <c r="A21" s="3" t="s">
        <v>94</v>
      </c>
      <c r="G21" s="62" t="s">
        <v>32</v>
      </c>
      <c r="H21" s="63">
        <f>'はじめに入力'!I5</f>
      </c>
    </row>
    <row r="22">
      <c r="A22" s="64" t="s">
        <v>37</v>
      </c>
      <c r="B22" s="65" t="s">
        <v>38</v>
      </c>
      <c r="C22" s="66"/>
      <c r="D22" s="65" t="s">
        <v>40</v>
      </c>
      <c r="E22" s="66"/>
      <c r="F22" s="67" t="s">
        <v>82</v>
      </c>
      <c r="G22" s="67" t="s">
        <v>48</v>
      </c>
      <c r="H22" s="67" t="s">
        <v>70</v>
      </c>
      <c r="I22" s="67" t="s">
        <v>75</v>
      </c>
    </row>
    <row r="23">
      <c r="A23" s="46"/>
      <c r="B23" s="68" t="s">
        <v>92</v>
      </c>
      <c r="C23" s="68" t="s">
        <v>95</v>
      </c>
      <c r="D23" s="68" t="s">
        <v>92</v>
      </c>
      <c r="E23" s="68" t="s">
        <v>95</v>
      </c>
      <c r="F23" s="46"/>
      <c r="G23" s="46"/>
      <c r="H23" s="46"/>
      <c r="I23" s="46"/>
    </row>
    <row r="24">
      <c r="A24" s="18" t="s">
        <v>5</v>
      </c>
      <c r="B24" s="21">
        <f>IF(F24="","",SUM(OFFSET('展示会'!$A$14,0,'展示会'!$B$3,1,$D$11-'展示会'!$B$3+1)))</f>
      </c>
      <c r="C24" s="20">
        <f t="array" ref="C24">IFERROR(INDEX('展示会'!$B$21:$M$21,$D$11),"")</f>
      </c>
      <c r="D24" s="21">
        <f>IF(F24="","",SUM(OFFSET('展示会'!$A$16,0,'展示会'!$B$3,1,$D$11-'展示会'!$B$3+1)))</f>
      </c>
      <c r="E24" s="20">
        <f t="array" ref="E24">IFERROR(INDEX('展示会'!$B$22:$M$22,$D$11),"")</f>
      </c>
      <c r="F24" s="21">
        <f t="array" ref="F24">IFERROR(INDEX('展示会'!$B$26:$M$26,$D$11),"")</f>
      </c>
      <c r="G24" s="16">
        <f t="array" ref="G24">IFERROR(INDEX('展示会'!$B$23:$M$23,$D$11),"")</f>
      </c>
      <c r="H24" s="26">
        <f t="array" ref="H24">IFERROR(INDEX('展示会'!$B$24:$M$24,$D$11),"")</f>
      </c>
      <c r="I24" s="26">
        <f t="array" ref="I24">IFERROR(INDEX('展示会'!$B$25:$M$25,$D$11),"")</f>
      </c>
    </row>
    <row r="25">
      <c r="A25" s="18" t="s">
        <v>53</v>
      </c>
      <c r="B25" s="21">
        <f>IF(F25="","",SUM(OFFSET('セミナー'!$A$14,0,'セミナー'!$B$3,1,$D$11-'セミナー'!$B$3+1)))</f>
      </c>
      <c r="C25" s="20">
        <f t="array" ref="C25">IFERROR(INDEX('セミナー'!$B$21:$M$21,$D$11),"")</f>
      </c>
      <c r="D25" s="21">
        <f>IF(F25="","",SUM(OFFSET('セミナー'!$A$16,0,'セミナー'!$B$3,1,$D$11-'セミナー'!$B$3+1)))</f>
      </c>
      <c r="E25" s="20">
        <f t="array" ref="E25">IFERROR(INDEX('セミナー'!$B$22:$M$22,$D$11),"")</f>
      </c>
      <c r="F25" s="21">
        <f t="array" ref="F25">IFERROR(INDEX('セミナー'!$B$26:$M$26,$D$11),"")</f>
      </c>
      <c r="G25" s="16">
        <f t="array" ref="G25">IFERROR(INDEX('セミナー'!$B$23:$M$23,$D$11),"")</f>
      </c>
      <c r="H25" s="26">
        <f t="array" ref="H25">IFERROR(INDEX('セミナー'!$B$24:$M$24,$D$11),"")</f>
      </c>
      <c r="I25" s="26">
        <f t="array" ref="I25">IFERROR(INDEX('セミナー'!$B$25:$M$25,$D$11),"")</f>
      </c>
    </row>
    <row r="26">
      <c r="A26" s="18" t="s">
        <v>55</v>
      </c>
      <c r="B26" s="21">
        <f>IF(F26="","",SUM(OFFSET('Web広告'!$A$14,0,'Web広告'!$B$3,1,$D$11-'Web広告'!$B$3+1)))</f>
      </c>
      <c r="C26" s="20">
        <f t="array" ref="C26">IFERROR(INDEX('Web広告'!$B$21:$M$21,$D$11),"")</f>
      </c>
      <c r="D26" s="21">
        <f>IF(F26="","",SUM(OFFSET('Web広告'!$A$16,0,'Web広告'!$B$3,1,$D$11-'Web広告'!$B$3+1)))</f>
      </c>
      <c r="E26" s="20">
        <f t="array" ref="E26">IFERROR(INDEX('Web広告'!$B$22:$M$22,$D$11),"")</f>
      </c>
      <c r="F26" s="21">
        <f t="array" ref="F26">IFERROR(INDEX('Web広告'!$B$26:$M$26,$D$11),"")</f>
      </c>
      <c r="G26" s="16">
        <f t="array" ref="G26">IFERROR(INDEX('Web広告'!$B$23:$M$23,$D$11),"")</f>
      </c>
      <c r="H26" s="26">
        <f t="array" ref="H26">IFERROR(INDEX('Web広告'!$B$24:$M$24,$D$11),"")</f>
      </c>
      <c r="I26" s="26">
        <f t="array" ref="I26">IFERROR(INDEX('Web広告'!$B$25:$M$25,$D$11),"")</f>
      </c>
    </row>
    <row r="27">
      <c r="A27" s="18" t="s">
        <v>57</v>
      </c>
      <c r="B27" s="21">
        <f>IF(F27="","",SUM(OFFSET('自社サイト'!$A$14,0,'自社サイト'!$B$3,1,$D$11-'自社サイト'!$B$3+1)))</f>
      </c>
      <c r="C27" s="20">
        <f t="array" ref="C27">IFERROR(INDEX('自社サイト'!$B$21:$M$21,$D$11),"")</f>
      </c>
      <c r="D27" s="21">
        <f>IF(F27="","",SUM(OFFSET('自社サイト'!$A$16,0,'自社サイト'!$B$3,1,$D$11-'自社サイト'!$B$3+1)))</f>
      </c>
      <c r="E27" s="20">
        <f t="array" ref="E27">IFERROR(INDEX('自社サイト'!$B$22:$M$22,$D$11),"")</f>
      </c>
      <c r="F27" s="21">
        <f t="array" ref="F27">IFERROR(INDEX('自社サイト'!$B$26:$M$26,$D$11),"")</f>
      </c>
      <c r="G27" s="16">
        <f t="array" ref="G27">IFERROR(INDEX('自社サイト'!$B$23:$M$23,$D$11),"")</f>
      </c>
      <c r="H27" s="26">
        <f t="array" ref="H27">IFERROR(INDEX('自社サイト'!$B$24:$M$24,$D$11),"")</f>
      </c>
      <c r="I27" s="26">
        <f t="array" ref="I27">IFERROR(INDEX('自社サイト'!$B$25:$M$25,$D$11),"")</f>
      </c>
    </row>
    <row r="28">
      <c r="A28" s="18" t="s">
        <v>58</v>
      </c>
      <c r="B28" s="21">
        <f>IF(F28="","",SUM(OFFSET(SNS!$A$14,0,SNS!$B$3,1,$D$11-SNS!$B$3+1)))</f>
      </c>
      <c r="C28" s="20">
        <f t="array" ref="C28">IFERROR(INDEX(SNS!$B$21:$M$21,$D$11),"")</f>
      </c>
      <c r="D28" s="21">
        <f>IF(F28="","",SUM(OFFSET(SNS!$A$16,0,SNS!$B$3,1,$D$11-SNS!$B$3+1)))</f>
      </c>
      <c r="E28" s="20">
        <f t="array" ref="E28">IFERROR(INDEX(SNS!$B$22:$M$22,$D$11),"")</f>
      </c>
      <c r="F28" s="21">
        <f t="array" ref="F28">IFERROR(INDEX(SNS!$B$26:$M$26,$D$11),"")</f>
      </c>
      <c r="G28" s="16">
        <f t="array" ref="G28">IFERROR(INDEX(SNS!$B$23:$M$23,$D$11),"")</f>
      </c>
      <c r="H28" s="26">
        <f t="array" ref="H28">IFERROR(INDEX(SNS!$B$24:$M$24,$D$11),"")</f>
      </c>
      <c r="I28" s="26">
        <f t="array" ref="I28">IFERROR(INDEX(SNS!$B$25:$M$25,$D$11),"")</f>
      </c>
    </row>
    <row r="29">
      <c r="A29" s="18" t="s">
        <v>59</v>
      </c>
      <c r="B29" s="21">
        <f>IF(F29="","",SUM(OFFSET('メール'!$A$14,0,'メール'!$B$3,1,$D$11-'メール'!$B$3+1)))</f>
      </c>
      <c r="C29" s="20">
        <f t="array" ref="C29">IFERROR(INDEX('メール'!$B$21:$M$21,$D$11),"")</f>
      </c>
      <c r="D29" s="21">
        <f>IF(F29="","",SUM(OFFSET('メール'!$A$16,0,'メール'!$B$3,1,$D$11-'メール'!$B$3+1)))</f>
      </c>
      <c r="E29" s="20">
        <f t="array" ref="E29">IFERROR(INDEX('メール'!$B$22:$M$22,$D$11),"")</f>
      </c>
      <c r="F29" s="21">
        <f t="array" ref="F29">IFERROR(INDEX('メール'!$B$26:$M$26,$D$11),"")</f>
      </c>
      <c r="G29" s="16">
        <f t="array" ref="G29">IFERROR(INDEX('メール'!$B$23:$M$23,$D$11),"")</f>
      </c>
      <c r="H29" s="26">
        <f t="array" ref="H29">IFERROR(INDEX('メール'!$B$24:$M$24,$D$11),"")</f>
      </c>
      <c r="I29" s="26">
        <f t="array" ref="I29">IFERROR(INDEX('メール'!$B$25:$M$25,$D$11),"")</f>
      </c>
    </row>
    <row r="30">
      <c r="A30" s="4" t="s">
        <v>96</v>
      </c>
      <c r="B30" s="2"/>
      <c r="C30" s="2"/>
      <c r="D30" s="2"/>
      <c r="E30" s="2"/>
      <c r="F30" s="2"/>
      <c r="G30" s="2"/>
      <c r="H30" s="2"/>
    </row>
    <row r="43">
      <c r="F43" s="2"/>
    </row>
  </sheetData>
  <mergeCells count="7">
    <mergeCell ref="A22:A23"/>
    <mergeCell ref="B22:C22"/>
    <mergeCell ref="D22:E22"/>
    <mergeCell ref="F22:F23"/>
    <mergeCell ref="G22:G23"/>
    <mergeCell ref="H22:H23"/>
    <mergeCell ref="I22:I23"/>
  </mergeCells>
  <conditionalFormatting sqref="J8:K8">
    <cfRule type="cellIs" dxfId="1" priority="1" stopIfTrue="1" operator="equal">
      <formula>"上限超え"</formula>
    </cfRule>
  </conditionalFormatting>
  <conditionalFormatting sqref="H24:H29">
    <cfRule type="cellIs" dxfId="0" priority="2" stopIfTrue="1" operator="equal">
      <formula>"上限超え"</formula>
    </cfRule>
  </conditionalFormatting>
  <conditionalFormatting sqref="I24:I29">
    <cfRule type="cellIs" dxfId="1" priority="3" stopIfTrue="1" operator="equal">
      <formula>"撤退を検討"</formula>
    </cfRule>
  </conditionalFormatting>
  <conditionalFormatting sqref="B8:H8 B18:D18 F18:H18 J18:K18">
    <cfRule type="cellIs" dxfId="0" priority="4" stopIfTrue="1" operator="equal">
      <formula>"やや届かない"</formula>
    </cfRule>
  </conditionalFormatting>
  <conditionalFormatting sqref="B8:H8 B18:D18 F18:H18 J18:K18">
    <cfRule type="cellIs" dxfId="1" priority="5" stopIfTrue="1" operator="equal">
      <formula>"届かない"</formula>
    </cfRule>
  </conditionalFormatting>
  <dataValidations>
    <dataValidation type="list" allowBlank="1" showErrorMessage="1" sqref="B11">
      <formula1>'展示会'!$B$6:$M$6</formula1>
    </dataValidation>
  </dataValidations>
  <drawing r:id="rId1"/>
</worksheet>
</file>